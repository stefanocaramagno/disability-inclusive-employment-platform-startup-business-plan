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/>
  <mc:AlternateContent xmlns:mc="http://schemas.openxmlformats.org/markup-compatibility/2006">
    <mc:Choice Requires="x15">
      <x15ac:absPath xmlns:x15ac="http://schemas.microsoft.com/office/spreadsheetml/2010/11/ac" url="https://studentiunict-my.sharepoint.com/personal/clbfrc03d05c351r_studium_unict_it/Documents/Università/Terzo anno (a.a. 2023-2024)/startup di impresa e modelli di business/elaborati/Business Plan/"/>
    </mc:Choice>
  </mc:AlternateContent>
  <xr:revisionPtr revIDLastSave="672" documentId="11_C8706DE7DCCB40836B02CE998F75CCDC64E19E90" xr6:coauthVersionLast="47" xr6:coauthVersionMax="47" xr10:uidLastSave="{D35105A3-8066-4FF9-8F58-515FF6D7B7BB}"/>
  <bookViews>
    <workbookView xWindow="0" yWindow="740" windowWidth="15080" windowHeight="18900" xr2:uid="{00000000-000D-0000-FFFF-FFFF00000000}"/>
  </bookViews>
  <sheets>
    <sheet name="STATO PATRIMONIA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27" i="1"/>
  <c r="Q34" i="1"/>
  <c r="G30" i="1"/>
  <c r="G22" i="1"/>
  <c r="B35" i="1" s="1"/>
  <c r="L39" i="1" l="1"/>
</calcChain>
</file>

<file path=xl/sharedStrings.xml><?xml version="1.0" encoding="utf-8"?>
<sst xmlns="http://schemas.openxmlformats.org/spreadsheetml/2006/main" count="37" uniqueCount="37">
  <si>
    <t xml:space="preserve">     EQUAL OPPORTUNITIES</t>
  </si>
  <si>
    <t xml:space="preserve">STATO PATRIMONIALE </t>
  </si>
  <si>
    <t>ATTIVO</t>
  </si>
  <si>
    <t>PASSIVO E PATRIMONIO NETTO</t>
  </si>
  <si>
    <t>ATTIVO A BREVE</t>
  </si>
  <si>
    <t>PASSIVO A BREVE</t>
  </si>
  <si>
    <t xml:space="preserve"> Liquidità</t>
  </si>
  <si>
    <t>Liquidità negative</t>
  </si>
  <si>
    <t xml:space="preserve"> Crediti commerciali</t>
  </si>
  <si>
    <t>Debiti v/fornitori</t>
  </si>
  <si>
    <t xml:space="preserve"> Crediti ed investimenti</t>
  </si>
  <si>
    <t>Altri debiti a breve</t>
  </si>
  <si>
    <t xml:space="preserve"> Crediti tributari</t>
  </si>
  <si>
    <t>Ratei e risconti</t>
  </si>
  <si>
    <t xml:space="preserve"> Rimanenze</t>
  </si>
  <si>
    <t xml:space="preserve"> Totale Passivo a Breve (€) </t>
  </si>
  <si>
    <t xml:space="preserve"> Ratei e risconti</t>
  </si>
  <si>
    <t xml:space="preserve"> Totale Attivo a Breve (€) </t>
  </si>
  <si>
    <t>PASSIVO A MEDIO-LUNGO TERMINE
MEZZI DI TERZI</t>
  </si>
  <si>
    <t>ATTIVO FISSO NETTO</t>
  </si>
  <si>
    <t>Fondo TFR per rischi ed oneri</t>
  </si>
  <si>
    <t>Debiti finanziari a m/I</t>
  </si>
  <si>
    <t xml:space="preserve"> Immobilizzazioni materiali</t>
  </si>
  <si>
    <t>Altre passività consolidate</t>
  </si>
  <si>
    <t xml:space="preserve"> Immobilizzazioni immateriali</t>
  </si>
  <si>
    <t xml:space="preserve"> Totale Passivo a Medio-Lungo Termine (€) </t>
  </si>
  <si>
    <t xml:space="preserve"> Immobilizzazioni finanziarie</t>
  </si>
  <si>
    <t xml:space="preserve"> Altre immobilizzazioni</t>
  </si>
  <si>
    <t>MEZZI PROPRI</t>
  </si>
  <si>
    <t xml:space="preserve"> Totale Attivo Fisso Netto (€) </t>
  </si>
  <si>
    <t>Capitale sociale</t>
  </si>
  <si>
    <t>Riserve</t>
  </si>
  <si>
    <t>CAPITALE INVESTITO</t>
  </si>
  <si>
    <t>Utile/perdita del periodo</t>
  </si>
  <si>
    <t>Totale Mezzi Propri (€)</t>
  </si>
  <si>
    <t>FONTI DI FINANZIAMENTO</t>
  </si>
  <si>
    <t>Lo stato patrimoniale riflette la situazione finanziaria dell'azienda durante il suo primo anno di attività commerciale, 
presentando in modo dettagliato gli asset, i passivi e il patrimonio netto in quel periodo specifico.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</si>
</sst>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1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5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rial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AEEF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164" fontId="7" fillId="4" borderId="12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164" fontId="7" fillId="4" borderId="4" xfId="0" applyNumberFormat="1" applyFont="1" applyFill="1" applyBorder="1" applyAlignment="1">
      <alignment horizontal="left" vertical="center"/>
    </xf>
    <xf numFmtId="164" fontId="7" fillId="4" borderId="5" xfId="0" applyNumberFormat="1" applyFont="1" applyFill="1" applyBorder="1" applyAlignment="1">
      <alignment horizontal="left" vertical="center"/>
    </xf>
    <xf numFmtId="164" fontId="7" fillId="4" borderId="3" xfId="0" applyNumberFormat="1" applyFont="1" applyFill="1" applyBorder="1" applyAlignment="1">
      <alignment horizontal="left" vertical="center"/>
    </xf>
    <xf numFmtId="164" fontId="7" fillId="4" borderId="6" xfId="0" applyNumberFormat="1" applyFont="1" applyFill="1" applyBorder="1" applyAlignment="1">
      <alignment horizontal="left" vertical="center"/>
    </xf>
    <xf numFmtId="164" fontId="7" fillId="4" borderId="7" xfId="0" applyNumberFormat="1" applyFont="1" applyFill="1" applyBorder="1" applyAlignment="1">
      <alignment horizontal="left" vertical="center"/>
    </xf>
    <xf numFmtId="164" fontId="8" fillId="4" borderId="8" xfId="0" applyNumberFormat="1" applyFont="1" applyFill="1" applyBorder="1" applyAlignment="1">
      <alignment horizontal="left" vertical="center"/>
    </xf>
    <xf numFmtId="164" fontId="8" fillId="4" borderId="9" xfId="0" applyNumberFormat="1" applyFont="1" applyFill="1" applyBorder="1" applyAlignment="1">
      <alignment horizontal="left" vertical="center"/>
    </xf>
    <xf numFmtId="164" fontId="8" fillId="4" borderId="10" xfId="0" applyNumberFormat="1" applyFont="1" applyFill="1" applyBorder="1" applyAlignment="1">
      <alignment horizontal="left" vertical="center"/>
    </xf>
    <xf numFmtId="164" fontId="8" fillId="4" borderId="11" xfId="0" applyNumberFormat="1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/>
    </xf>
    <xf numFmtId="164" fontId="4" fillId="4" borderId="11" xfId="0" applyNumberFormat="1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164" fontId="4" fillId="4" borderId="12" xfId="0" applyNumberFormat="1" applyFont="1" applyFill="1" applyBorder="1" applyAlignment="1">
      <alignment horizontal="left" vertical="center"/>
    </xf>
    <xf numFmtId="164" fontId="7" fillId="4" borderId="13" xfId="0" applyNumberFormat="1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AEEF3"/>
      <color rgb="FFC6E0B4"/>
      <color rgb="FFE7E6E6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38100</xdr:rowOff>
    </xdr:from>
    <xdr:to>
      <xdr:col>2</xdr:col>
      <xdr:colOff>381000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933DE-986E-47BE-B25A-D6CCF442D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22860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8"/>
  <sheetViews>
    <sheetView tabSelected="1" zoomScale="89" workbookViewId="0">
      <selection activeCell="B42" sqref="B42:T46"/>
    </sheetView>
  </sheetViews>
  <sheetFormatPr defaultColWidth="8.85546875" defaultRowHeight="15"/>
  <sheetData>
    <row r="2" spans="2:20">
      <c r="B2" s="4" t="s">
        <v>0</v>
      </c>
      <c r="C2" s="4"/>
      <c r="D2" s="4"/>
      <c r="E2" s="4"/>
      <c r="F2" s="4"/>
      <c r="G2" s="4"/>
      <c r="H2" s="4"/>
    </row>
    <row r="3" spans="2:20">
      <c r="B3" s="4"/>
      <c r="C3" s="4"/>
      <c r="D3" s="4"/>
      <c r="E3" s="4"/>
      <c r="F3" s="4"/>
      <c r="G3" s="4"/>
      <c r="H3" s="4"/>
    </row>
    <row r="4" spans="2:20">
      <c r="B4" s="4"/>
      <c r="C4" s="4"/>
      <c r="D4" s="4"/>
      <c r="E4" s="4"/>
      <c r="F4" s="4"/>
      <c r="G4" s="4"/>
      <c r="H4" s="4"/>
    </row>
    <row r="5" spans="2:20">
      <c r="B5" s="4"/>
      <c r="C5" s="4"/>
      <c r="D5" s="4"/>
      <c r="E5" s="4"/>
      <c r="F5" s="4"/>
      <c r="G5" s="4"/>
      <c r="H5" s="4"/>
    </row>
    <row r="6" spans="2:20">
      <c r="B6" s="4"/>
      <c r="C6" s="4"/>
      <c r="D6" s="4"/>
      <c r="E6" s="4"/>
      <c r="F6" s="4"/>
      <c r="G6" s="4"/>
      <c r="H6" s="4"/>
    </row>
    <row r="7" spans="2:20">
      <c r="B7" s="4"/>
      <c r="C7" s="4"/>
      <c r="D7" s="4"/>
      <c r="E7" s="4"/>
      <c r="F7" s="4"/>
      <c r="G7" s="4"/>
      <c r="H7" s="4"/>
    </row>
    <row r="9" spans="2:20" ht="15" customHeight="1">
      <c r="B9" s="3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2:20" ht="15" customHeigh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2" spans="2:20" ht="15" customHeight="1">
      <c r="B12" s="7" t="s">
        <v>2</v>
      </c>
      <c r="C12" s="7"/>
      <c r="D12" s="7"/>
      <c r="E12" s="7"/>
      <c r="F12" s="7"/>
      <c r="G12" s="7"/>
      <c r="H12" s="7"/>
      <c r="I12" s="7"/>
      <c r="J12" s="7"/>
      <c r="L12" s="7" t="s">
        <v>3</v>
      </c>
      <c r="M12" s="7"/>
      <c r="N12" s="7"/>
      <c r="O12" s="7"/>
      <c r="P12" s="7"/>
      <c r="Q12" s="7"/>
      <c r="R12" s="7"/>
      <c r="S12" s="7"/>
      <c r="T12" s="7"/>
    </row>
    <row r="13" spans="2:20" ht="15" customHeight="1">
      <c r="B13" s="7"/>
      <c r="C13" s="7"/>
      <c r="D13" s="7"/>
      <c r="E13" s="7"/>
      <c r="F13" s="7"/>
      <c r="G13" s="7"/>
      <c r="H13" s="7"/>
      <c r="I13" s="7"/>
      <c r="J13" s="7"/>
      <c r="L13" s="7"/>
      <c r="M13" s="7"/>
      <c r="N13" s="7"/>
      <c r="O13" s="7"/>
      <c r="P13" s="7"/>
      <c r="Q13" s="7"/>
      <c r="R13" s="7"/>
      <c r="S13" s="7"/>
      <c r="T13" s="7"/>
    </row>
    <row r="14" spans="2:20">
      <c r="B14" s="22" t="s">
        <v>4</v>
      </c>
      <c r="C14" s="22"/>
      <c r="D14" s="22"/>
      <c r="E14" s="22"/>
      <c r="F14" s="22"/>
      <c r="G14" s="22"/>
      <c r="H14" s="22"/>
      <c r="I14" s="22"/>
      <c r="J14" s="22"/>
      <c r="L14" s="22" t="s">
        <v>5</v>
      </c>
      <c r="M14" s="22"/>
      <c r="N14" s="22"/>
      <c r="O14" s="22"/>
      <c r="P14" s="22"/>
      <c r="Q14" s="22"/>
      <c r="R14" s="22"/>
      <c r="S14" s="22"/>
      <c r="T14" s="22"/>
    </row>
    <row r="15" spans="2:20">
      <c r="B15" s="22"/>
      <c r="C15" s="22"/>
      <c r="D15" s="22"/>
      <c r="E15" s="22"/>
      <c r="F15" s="22"/>
      <c r="G15" s="22"/>
      <c r="H15" s="22"/>
      <c r="I15" s="22"/>
      <c r="J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.75">
      <c r="B16" s="1">
        <v>1</v>
      </c>
      <c r="C16" s="8" t="s">
        <v>6</v>
      </c>
      <c r="D16" s="8"/>
      <c r="E16" s="8"/>
      <c r="F16" s="8"/>
      <c r="G16" s="9">
        <v>30000</v>
      </c>
      <c r="H16" s="9"/>
      <c r="I16" s="9"/>
      <c r="J16" s="9"/>
      <c r="L16" s="1">
        <v>1</v>
      </c>
      <c r="M16" s="8" t="s">
        <v>7</v>
      </c>
      <c r="N16" s="8"/>
      <c r="O16" s="8"/>
      <c r="P16" s="8"/>
      <c r="Q16" s="26">
        <v>850000</v>
      </c>
      <c r="R16" s="26"/>
      <c r="S16" s="26"/>
      <c r="T16" s="26"/>
    </row>
    <row r="17" spans="2:20" ht="15.75">
      <c r="B17" s="1">
        <v>2</v>
      </c>
      <c r="C17" s="8" t="s">
        <v>8</v>
      </c>
      <c r="D17" s="8"/>
      <c r="E17" s="8"/>
      <c r="F17" s="8"/>
      <c r="G17" s="9">
        <v>192864</v>
      </c>
      <c r="H17" s="9"/>
      <c r="I17" s="9"/>
      <c r="J17" s="9"/>
      <c r="L17" s="1">
        <v>2</v>
      </c>
      <c r="M17" s="8" t="s">
        <v>9</v>
      </c>
      <c r="N17" s="8"/>
      <c r="O17" s="8"/>
      <c r="P17" s="8"/>
      <c r="Q17" s="26">
        <v>350000</v>
      </c>
      <c r="R17" s="26"/>
      <c r="S17" s="26"/>
      <c r="T17" s="26"/>
    </row>
    <row r="18" spans="2:20" ht="15.75">
      <c r="B18" s="1">
        <v>3</v>
      </c>
      <c r="C18" s="8" t="s">
        <v>10</v>
      </c>
      <c r="D18" s="8"/>
      <c r="E18" s="8"/>
      <c r="F18" s="8"/>
      <c r="G18" s="9">
        <v>142780</v>
      </c>
      <c r="H18" s="9"/>
      <c r="I18" s="9"/>
      <c r="J18" s="9"/>
      <c r="L18" s="1">
        <v>3</v>
      </c>
      <c r="M18" s="8" t="s">
        <v>11</v>
      </c>
      <c r="N18" s="8"/>
      <c r="O18" s="8"/>
      <c r="P18" s="8"/>
      <c r="Q18" s="26">
        <v>0</v>
      </c>
      <c r="R18" s="26"/>
      <c r="S18" s="26"/>
      <c r="T18" s="26"/>
    </row>
    <row r="19" spans="2:20" ht="15.75">
      <c r="B19" s="1">
        <v>4</v>
      </c>
      <c r="C19" s="8" t="s">
        <v>12</v>
      </c>
      <c r="D19" s="8"/>
      <c r="E19" s="8"/>
      <c r="F19" s="8"/>
      <c r="G19" s="9">
        <v>0</v>
      </c>
      <c r="H19" s="9"/>
      <c r="I19" s="9"/>
      <c r="J19" s="9"/>
      <c r="L19" s="1">
        <v>4</v>
      </c>
      <c r="M19" s="8" t="s">
        <v>13</v>
      </c>
      <c r="N19" s="8"/>
      <c r="O19" s="8"/>
      <c r="P19" s="8"/>
      <c r="Q19" s="26">
        <v>0</v>
      </c>
      <c r="R19" s="26"/>
      <c r="S19" s="26"/>
      <c r="T19" s="26"/>
    </row>
    <row r="20" spans="2:20" ht="15.75">
      <c r="B20" s="1">
        <v>5</v>
      </c>
      <c r="C20" s="8" t="s">
        <v>14</v>
      </c>
      <c r="D20" s="8"/>
      <c r="E20" s="8"/>
      <c r="F20" s="8"/>
      <c r="G20" s="9">
        <v>0</v>
      </c>
      <c r="H20" s="9"/>
      <c r="I20" s="9"/>
      <c r="J20" s="9"/>
      <c r="L20" s="16" t="s">
        <v>15</v>
      </c>
      <c r="M20" s="17"/>
      <c r="N20" s="17"/>
      <c r="O20" s="17"/>
      <c r="P20" s="18"/>
      <c r="Q20" s="27">
        <f>Q16+Q17+Q18+Q19</f>
        <v>1200000</v>
      </c>
      <c r="R20" s="28"/>
      <c r="S20" s="28"/>
      <c r="T20" s="29"/>
    </row>
    <row r="21" spans="2:20" ht="15.75">
      <c r="B21" s="1">
        <v>6</v>
      </c>
      <c r="C21" s="8" t="s">
        <v>16</v>
      </c>
      <c r="D21" s="8"/>
      <c r="E21" s="8"/>
      <c r="F21" s="8"/>
      <c r="G21" s="38">
        <v>0</v>
      </c>
      <c r="H21" s="38"/>
      <c r="I21" s="38"/>
      <c r="J21" s="38"/>
      <c r="L21" s="19"/>
      <c r="M21" s="20"/>
      <c r="N21" s="20"/>
      <c r="O21" s="20"/>
      <c r="P21" s="21"/>
      <c r="Q21" s="30"/>
      <c r="R21" s="31"/>
      <c r="S21" s="31"/>
      <c r="T21" s="32"/>
    </row>
    <row r="22" spans="2:20" ht="15.75" customHeight="1">
      <c r="B22" s="16" t="s">
        <v>17</v>
      </c>
      <c r="C22" s="17"/>
      <c r="D22" s="17"/>
      <c r="E22" s="17"/>
      <c r="F22" s="17"/>
      <c r="G22" s="40">
        <f>G16+G17+G18+G19+G20+G21</f>
        <v>365644</v>
      </c>
      <c r="H22" s="40"/>
      <c r="I22" s="40"/>
      <c r="J22" s="40"/>
      <c r="L22" s="10" t="s">
        <v>18</v>
      </c>
      <c r="M22" s="11"/>
      <c r="N22" s="11"/>
      <c r="O22" s="11"/>
      <c r="P22" s="11"/>
      <c r="Q22" s="11"/>
      <c r="R22" s="11"/>
      <c r="S22" s="11"/>
      <c r="T22" s="12"/>
    </row>
    <row r="23" spans="2:20" ht="15" customHeight="1">
      <c r="B23" s="19"/>
      <c r="C23" s="20"/>
      <c r="D23" s="20"/>
      <c r="E23" s="20"/>
      <c r="F23" s="20"/>
      <c r="G23" s="40"/>
      <c r="H23" s="40"/>
      <c r="I23" s="40"/>
      <c r="J23" s="40"/>
      <c r="L23" s="13"/>
      <c r="M23" s="14"/>
      <c r="N23" s="14"/>
      <c r="O23" s="14"/>
      <c r="P23" s="14"/>
      <c r="Q23" s="14"/>
      <c r="R23" s="14"/>
      <c r="S23" s="14"/>
      <c r="T23" s="15"/>
    </row>
    <row r="24" spans="2:20" ht="15" customHeight="1">
      <c r="B24" s="22" t="s">
        <v>19</v>
      </c>
      <c r="C24" s="22"/>
      <c r="D24" s="22"/>
      <c r="E24" s="22"/>
      <c r="F24" s="22"/>
      <c r="G24" s="42"/>
      <c r="H24" s="42"/>
      <c r="I24" s="42"/>
      <c r="J24" s="42"/>
      <c r="L24" s="1">
        <v>1</v>
      </c>
      <c r="M24" s="8" t="s">
        <v>20</v>
      </c>
      <c r="N24" s="8"/>
      <c r="O24" s="8"/>
      <c r="P24" s="8"/>
      <c r="Q24" s="26">
        <v>34202.559999999998</v>
      </c>
      <c r="R24" s="26"/>
      <c r="S24" s="26"/>
      <c r="T24" s="26"/>
    </row>
    <row r="25" spans="2:20" ht="15" customHeight="1">
      <c r="B25" s="22"/>
      <c r="C25" s="22"/>
      <c r="D25" s="22"/>
      <c r="E25" s="22"/>
      <c r="F25" s="22"/>
      <c r="G25" s="22"/>
      <c r="H25" s="22"/>
      <c r="I25" s="22"/>
      <c r="J25" s="22"/>
      <c r="L25" s="1">
        <v>2</v>
      </c>
      <c r="M25" s="23" t="s">
        <v>21</v>
      </c>
      <c r="N25" s="8"/>
      <c r="O25" s="8"/>
      <c r="P25" s="8"/>
      <c r="Q25" s="26">
        <v>500000</v>
      </c>
      <c r="R25" s="26"/>
      <c r="S25" s="26"/>
      <c r="T25" s="26"/>
    </row>
    <row r="26" spans="2:20" ht="15.75">
      <c r="B26" s="1">
        <v>1</v>
      </c>
      <c r="C26" s="8" t="s">
        <v>22</v>
      </c>
      <c r="D26" s="8"/>
      <c r="E26" s="8"/>
      <c r="F26" s="8"/>
      <c r="G26" s="9">
        <v>110000</v>
      </c>
      <c r="H26" s="9"/>
      <c r="I26" s="9"/>
      <c r="J26" s="9"/>
      <c r="L26" s="1">
        <v>3</v>
      </c>
      <c r="M26" s="8" t="s">
        <v>23</v>
      </c>
      <c r="N26" s="8"/>
      <c r="O26" s="8"/>
      <c r="P26" s="8"/>
      <c r="Q26" s="33">
        <v>500000</v>
      </c>
      <c r="R26" s="34"/>
      <c r="S26" s="34"/>
      <c r="T26" s="35"/>
    </row>
    <row r="27" spans="2:20" ht="15.75">
      <c r="B27" s="1">
        <v>2</v>
      </c>
      <c r="C27" s="8" t="s">
        <v>24</v>
      </c>
      <c r="D27" s="8"/>
      <c r="E27" s="8"/>
      <c r="F27" s="8"/>
      <c r="G27" s="9">
        <v>32780</v>
      </c>
      <c r="H27" s="9"/>
      <c r="I27" s="9"/>
      <c r="J27" s="9"/>
      <c r="L27" s="16" t="s">
        <v>25</v>
      </c>
      <c r="M27" s="17"/>
      <c r="N27" s="17"/>
      <c r="O27" s="17"/>
      <c r="P27" s="18"/>
      <c r="Q27" s="27">
        <f>Q24+Q25+Q26</f>
        <v>1034202.56</v>
      </c>
      <c r="R27" s="28"/>
      <c r="S27" s="28"/>
      <c r="T27" s="29"/>
    </row>
    <row r="28" spans="2:20" ht="15.75">
      <c r="B28" s="1">
        <v>3</v>
      </c>
      <c r="C28" s="8" t="s">
        <v>26</v>
      </c>
      <c r="D28" s="8"/>
      <c r="E28" s="8"/>
      <c r="F28" s="8"/>
      <c r="G28" s="9">
        <v>0</v>
      </c>
      <c r="H28" s="9"/>
      <c r="I28" s="9"/>
      <c r="J28" s="9"/>
      <c r="L28" s="19"/>
      <c r="M28" s="20"/>
      <c r="N28" s="20"/>
      <c r="O28" s="20"/>
      <c r="P28" s="21"/>
      <c r="Q28" s="30"/>
      <c r="R28" s="31"/>
      <c r="S28" s="31"/>
      <c r="T28" s="32"/>
    </row>
    <row r="29" spans="2:20" ht="15.75">
      <c r="B29" s="2">
        <v>4</v>
      </c>
      <c r="C29" s="24" t="s">
        <v>27</v>
      </c>
      <c r="D29" s="24"/>
      <c r="E29" s="24"/>
      <c r="F29" s="24"/>
      <c r="G29" s="38">
        <v>0</v>
      </c>
      <c r="H29" s="38"/>
      <c r="I29" s="38"/>
      <c r="J29" s="38"/>
      <c r="L29" s="22" t="s">
        <v>28</v>
      </c>
      <c r="M29" s="22"/>
      <c r="N29" s="22"/>
      <c r="O29" s="22"/>
      <c r="P29" s="22"/>
      <c r="Q29" s="22"/>
      <c r="R29" s="22"/>
      <c r="S29" s="22"/>
      <c r="T29" s="22"/>
    </row>
    <row r="30" spans="2:20" ht="15" customHeight="1">
      <c r="B30" s="39" t="s">
        <v>29</v>
      </c>
      <c r="C30" s="39"/>
      <c r="D30" s="39"/>
      <c r="E30" s="39"/>
      <c r="F30" s="39"/>
      <c r="G30" s="40">
        <f>G26+G27+G28+G29</f>
        <v>142780</v>
      </c>
      <c r="H30" s="40"/>
      <c r="I30" s="40"/>
      <c r="J30" s="40"/>
      <c r="L30" s="22"/>
      <c r="M30" s="22"/>
      <c r="N30" s="22"/>
      <c r="O30" s="22"/>
      <c r="P30" s="22"/>
      <c r="Q30" s="22"/>
      <c r="R30" s="22"/>
      <c r="S30" s="22"/>
      <c r="T30" s="22"/>
    </row>
    <row r="31" spans="2:20" ht="15.75">
      <c r="B31" s="39"/>
      <c r="C31" s="39"/>
      <c r="D31" s="39"/>
      <c r="E31" s="39"/>
      <c r="F31" s="39"/>
      <c r="G31" s="40"/>
      <c r="H31" s="40"/>
      <c r="I31" s="40"/>
      <c r="J31" s="40"/>
      <c r="L31" s="1">
        <v>1</v>
      </c>
      <c r="M31" s="8" t="s">
        <v>30</v>
      </c>
      <c r="N31" s="8"/>
      <c r="O31" s="8"/>
      <c r="P31" s="8"/>
      <c r="Q31" s="26">
        <v>10000</v>
      </c>
      <c r="R31" s="26"/>
      <c r="S31" s="26"/>
      <c r="T31" s="26"/>
    </row>
    <row r="32" spans="2:20" ht="15" customHeight="1">
      <c r="L32" s="1">
        <v>2</v>
      </c>
      <c r="M32" s="23" t="s">
        <v>31</v>
      </c>
      <c r="N32" s="8"/>
      <c r="O32" s="8"/>
      <c r="P32" s="8"/>
      <c r="Q32" s="26">
        <v>75000</v>
      </c>
      <c r="R32" s="26"/>
      <c r="S32" s="26"/>
      <c r="T32" s="26"/>
    </row>
    <row r="33" spans="2:27" ht="15" customHeight="1">
      <c r="B33" s="37" t="s">
        <v>32</v>
      </c>
      <c r="C33" s="37"/>
      <c r="D33" s="37"/>
      <c r="E33" s="37"/>
      <c r="F33" s="37"/>
      <c r="G33" s="37"/>
      <c r="H33" s="37"/>
      <c r="I33" s="37"/>
      <c r="J33" s="37"/>
      <c r="L33" s="2">
        <v>3</v>
      </c>
      <c r="M33" s="24" t="s">
        <v>33</v>
      </c>
      <c r="N33" s="24"/>
      <c r="O33" s="24"/>
      <c r="P33" s="24"/>
      <c r="Q33" s="36">
        <v>15000</v>
      </c>
      <c r="R33" s="36"/>
      <c r="S33" s="36"/>
      <c r="T33" s="36"/>
    </row>
    <row r="34" spans="2:27" ht="15" customHeight="1">
      <c r="B34" s="37"/>
      <c r="C34" s="37"/>
      <c r="D34" s="37"/>
      <c r="E34" s="37"/>
      <c r="F34" s="37"/>
      <c r="G34" s="37"/>
      <c r="H34" s="37"/>
      <c r="I34" s="37"/>
      <c r="J34" s="37"/>
      <c r="L34" s="5" t="s">
        <v>34</v>
      </c>
      <c r="M34" s="6"/>
      <c r="N34" s="6"/>
      <c r="O34" s="6"/>
      <c r="P34" s="6"/>
      <c r="Q34" s="26">
        <f>Q31+Q32+Q33</f>
        <v>100000</v>
      </c>
      <c r="R34" s="26"/>
      <c r="S34" s="26"/>
      <c r="T34" s="26"/>
    </row>
    <row r="35" spans="2:27" ht="15" customHeight="1">
      <c r="B35" s="41">
        <f>G22+G30</f>
        <v>508424</v>
      </c>
      <c r="C35" s="41"/>
      <c r="D35" s="41"/>
      <c r="E35" s="41"/>
      <c r="F35" s="41"/>
      <c r="G35" s="41"/>
      <c r="H35" s="41"/>
      <c r="I35" s="41"/>
      <c r="J35" s="41"/>
      <c r="L35" s="6"/>
      <c r="M35" s="6"/>
      <c r="N35" s="6"/>
      <c r="O35" s="6"/>
      <c r="P35" s="6"/>
      <c r="Q35" s="26"/>
      <c r="R35" s="26"/>
      <c r="S35" s="26"/>
      <c r="T35" s="26"/>
    </row>
    <row r="36" spans="2:27" ht="15" customHeight="1">
      <c r="B36" s="25"/>
      <c r="C36" s="25"/>
      <c r="D36" s="25"/>
      <c r="E36" s="25"/>
      <c r="F36" s="25"/>
      <c r="G36" s="25"/>
      <c r="H36" s="25"/>
      <c r="I36" s="25"/>
      <c r="J36" s="25"/>
    </row>
    <row r="37" spans="2:27" ht="15" customHeight="1">
      <c r="L37" s="37" t="s">
        <v>35</v>
      </c>
      <c r="M37" s="37"/>
      <c r="N37" s="37"/>
      <c r="O37" s="37"/>
      <c r="P37" s="37"/>
      <c r="Q37" s="37"/>
      <c r="R37" s="37"/>
      <c r="S37" s="37"/>
      <c r="T37" s="37"/>
    </row>
    <row r="38" spans="2:27" ht="15.95" customHeight="1">
      <c r="L38" s="37"/>
      <c r="M38" s="37"/>
      <c r="N38" s="37"/>
      <c r="O38" s="37"/>
      <c r="P38" s="37"/>
      <c r="Q38" s="37"/>
      <c r="R38" s="37"/>
      <c r="S38" s="37"/>
      <c r="T38" s="37"/>
    </row>
    <row r="39" spans="2:27" ht="15.95" customHeight="1">
      <c r="L39" s="25">
        <f>Q20+Q27+Q34</f>
        <v>2334202.56</v>
      </c>
      <c r="M39" s="25"/>
      <c r="N39" s="25"/>
      <c r="O39" s="25"/>
      <c r="P39" s="25"/>
      <c r="Q39" s="25"/>
      <c r="R39" s="25"/>
      <c r="S39" s="25"/>
      <c r="T39" s="25"/>
    </row>
    <row r="40" spans="2:27">
      <c r="L40" s="25"/>
      <c r="M40" s="25"/>
      <c r="N40" s="25"/>
      <c r="O40" s="25"/>
      <c r="P40" s="25"/>
      <c r="Q40" s="25"/>
      <c r="R40" s="25"/>
      <c r="S40" s="25"/>
      <c r="T40" s="25"/>
    </row>
    <row r="42" spans="2:27" ht="15" customHeight="1">
      <c r="B42" s="44" t="s">
        <v>36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  <row r="43" spans="2:27" ht="21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3"/>
      <c r="V43" s="43"/>
      <c r="W43" s="43"/>
      <c r="X43" s="43"/>
      <c r="Y43" s="43"/>
      <c r="Z43" s="43"/>
      <c r="AA43" s="43"/>
    </row>
    <row r="44" spans="2:27" ht="21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3"/>
      <c r="V44" s="43"/>
      <c r="W44" s="43"/>
      <c r="X44" s="43"/>
      <c r="Y44" s="43"/>
      <c r="Z44" s="43"/>
      <c r="AA44" s="43"/>
    </row>
    <row r="45" spans="2:27" ht="21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3"/>
      <c r="V45" s="43"/>
      <c r="W45" s="43"/>
      <c r="X45" s="43"/>
      <c r="Y45" s="43"/>
      <c r="Z45" s="43"/>
      <c r="AA45" s="43"/>
    </row>
    <row r="46" spans="2:27" ht="21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3"/>
      <c r="V46" s="43"/>
      <c r="W46" s="43"/>
      <c r="X46" s="43"/>
      <c r="Y46" s="43"/>
      <c r="Z46" s="43"/>
      <c r="AA46" s="43"/>
    </row>
    <row r="47" spans="2:27" ht="21"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spans="2:27" ht="15" customHeight="1"/>
  </sheetData>
  <mergeCells count="64">
    <mergeCell ref="B42:T46"/>
    <mergeCell ref="B35:J36"/>
    <mergeCell ref="L37:T38"/>
    <mergeCell ref="L39:T40"/>
    <mergeCell ref="Q25:T25"/>
    <mergeCell ref="M25:P25"/>
    <mergeCell ref="M26:P26"/>
    <mergeCell ref="G29:J29"/>
    <mergeCell ref="M32:P32"/>
    <mergeCell ref="Q32:T32"/>
    <mergeCell ref="M33:P33"/>
    <mergeCell ref="Q33:T33"/>
    <mergeCell ref="B33:J34"/>
    <mergeCell ref="B30:F31"/>
    <mergeCell ref="G30:J31"/>
    <mergeCell ref="B14:J15"/>
    <mergeCell ref="C28:F28"/>
    <mergeCell ref="G28:J28"/>
    <mergeCell ref="C29:F29"/>
    <mergeCell ref="B24:J25"/>
    <mergeCell ref="C26:F26"/>
    <mergeCell ref="G26:J26"/>
    <mergeCell ref="C27:F27"/>
    <mergeCell ref="G27:J27"/>
    <mergeCell ref="C20:F20"/>
    <mergeCell ref="G20:J20"/>
    <mergeCell ref="C21:F21"/>
    <mergeCell ref="Q31:T31"/>
    <mergeCell ref="M31:P31"/>
    <mergeCell ref="L29:T30"/>
    <mergeCell ref="L27:P28"/>
    <mergeCell ref="Q27:T28"/>
    <mergeCell ref="L12:T13"/>
    <mergeCell ref="M16:P16"/>
    <mergeCell ref="Q16:T16"/>
    <mergeCell ref="M17:P17"/>
    <mergeCell ref="Q17:T17"/>
    <mergeCell ref="L14:T15"/>
    <mergeCell ref="M24:P24"/>
    <mergeCell ref="Q18:T18"/>
    <mergeCell ref="G21:J21"/>
    <mergeCell ref="C17:F17"/>
    <mergeCell ref="G17:J17"/>
    <mergeCell ref="C18:F18"/>
    <mergeCell ref="G18:J18"/>
    <mergeCell ref="C19:F19"/>
    <mergeCell ref="G19:J19"/>
    <mergeCell ref="M18:P18"/>
    <mergeCell ref="B22:F23"/>
    <mergeCell ref="G22:J23"/>
    <mergeCell ref="B9:T10"/>
    <mergeCell ref="B2:H7"/>
    <mergeCell ref="Q26:T26"/>
    <mergeCell ref="L34:P35"/>
    <mergeCell ref="Q34:T35"/>
    <mergeCell ref="B12:J13"/>
    <mergeCell ref="C16:F16"/>
    <mergeCell ref="G16:J16"/>
    <mergeCell ref="L22:T23"/>
    <mergeCell ref="Q24:T24"/>
    <mergeCell ref="M19:P19"/>
    <mergeCell ref="Q19:T19"/>
    <mergeCell ref="L20:P21"/>
    <mergeCell ref="Q20:T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2024-01-15T18:42:58Z</dcterms:modified>
  <cp:category/>
  <cp:contentStatus/>
</cp:coreProperties>
</file>