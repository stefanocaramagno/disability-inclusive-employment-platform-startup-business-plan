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07"/>
  <workbookPr/>
  <mc:AlternateContent xmlns:mc="http://schemas.openxmlformats.org/markup-compatibility/2006">
    <mc:Choice Requires="x15">
      <x15ac:absPath xmlns:x15ac="http://schemas.microsoft.com/office/spreadsheetml/2010/11/ac" url="https://studentiunict-my.sharepoint.com/personal/clbfrc03d05c351r_studium_unict_it/Documents/Università/Terzo anno (a.a. 2023-2024)/startup di impresa e modelli di business/elaborati/Business Plan/"/>
    </mc:Choice>
  </mc:AlternateContent>
  <xr:revisionPtr revIDLastSave="1113" documentId="8_{A5D36378-E79D-43B7-81A7-2E1D4F16BCE4}" xr6:coauthVersionLast="47" xr6:coauthVersionMax="47" xr10:uidLastSave="{57B74803-4641-4544-ACCC-5B3875BCBCE6}"/>
  <bookViews>
    <workbookView xWindow="0" yWindow="740" windowWidth="30240" windowHeight="18900" xr2:uid="{5D212862-4E5E-425B-89C4-412138398F01}"/>
  </bookViews>
  <sheets>
    <sheet name="PIANO DEL PERSONA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1" l="1"/>
  <c r="J15" i="1"/>
  <c r="J16" i="1"/>
  <c r="J18" i="1"/>
  <c r="J20" i="1"/>
  <c r="J22" i="1"/>
  <c r="J23" i="1"/>
  <c r="J25" i="1"/>
  <c r="J26" i="1"/>
  <c r="J14" i="1"/>
  <c r="I27" i="1"/>
  <c r="F39" i="1"/>
  <c r="E39" i="1"/>
  <c r="F33" i="1"/>
  <c r="F34" i="1"/>
  <c r="F35" i="1"/>
  <c r="F37" i="1"/>
  <c r="F38" i="1"/>
  <c r="F31" i="1"/>
  <c r="I26" i="1"/>
  <c r="I25" i="1"/>
  <c r="I23" i="1"/>
  <c r="I22" i="1"/>
  <c r="I20" i="1"/>
  <c r="I18" i="1"/>
  <c r="I16" i="1"/>
  <c r="I15" i="1"/>
  <c r="I14" i="1"/>
  <c r="E38" i="1"/>
  <c r="E37" i="1"/>
  <c r="E35" i="1"/>
  <c r="E34" i="1"/>
  <c r="E33" i="1"/>
  <c r="E31" i="1"/>
  <c r="E62" i="1"/>
  <c r="H62" i="1" s="1"/>
  <c r="E44" i="1"/>
  <c r="H44" i="1" s="1"/>
  <c r="E45" i="1"/>
  <c r="H45" i="1" s="1"/>
  <c r="E46" i="1"/>
  <c r="H46" i="1" s="1"/>
  <c r="E47" i="1"/>
  <c r="H47" i="1" s="1"/>
  <c r="E48" i="1"/>
  <c r="H48" i="1" s="1"/>
  <c r="E50" i="1"/>
  <c r="H50" i="1" s="1"/>
  <c r="E51" i="1"/>
  <c r="H51" i="1" s="1"/>
  <c r="E52" i="1"/>
  <c r="H52" i="1" s="1"/>
  <c r="E54" i="1"/>
  <c r="H54" i="1" s="1"/>
  <c r="M54" i="1" s="1"/>
  <c r="E56" i="1"/>
  <c r="H56" i="1" s="1"/>
  <c r="E58" i="1"/>
  <c r="H58" i="1" s="1"/>
  <c r="E59" i="1"/>
  <c r="H59" i="1" s="1"/>
  <c r="E61" i="1"/>
  <c r="H61" i="1" s="1"/>
  <c r="E43" i="1"/>
  <c r="H43" i="1" s="1"/>
  <c r="J44" i="1"/>
  <c r="J45" i="1"/>
  <c r="J46" i="1"/>
  <c r="J47" i="1"/>
  <c r="J48" i="1"/>
  <c r="J50" i="1"/>
  <c r="J51" i="1"/>
  <c r="J52" i="1"/>
  <c r="J54" i="1"/>
  <c r="J56" i="1"/>
  <c r="J58" i="1"/>
  <c r="J59" i="1"/>
  <c r="J61" i="1"/>
  <c r="J62" i="1"/>
  <c r="J43" i="1"/>
  <c r="D50" i="1"/>
  <c r="D51" i="1"/>
  <c r="D52" i="1"/>
  <c r="D54" i="1"/>
  <c r="D56" i="1"/>
  <c r="D58" i="1"/>
  <c r="D59" i="1"/>
  <c r="D61" i="1"/>
  <c r="D62" i="1"/>
  <c r="D44" i="1"/>
  <c r="D45" i="1"/>
  <c r="D46" i="1"/>
  <c r="D47" i="1"/>
  <c r="D48" i="1"/>
  <c r="D43" i="1"/>
  <c r="M50" i="1" l="1"/>
  <c r="M48" i="1"/>
  <c r="M52" i="1"/>
  <c r="R52" i="1" s="1"/>
  <c r="M51" i="1"/>
  <c r="O51" i="1" s="1"/>
  <c r="M45" i="1"/>
  <c r="O45" i="1" s="1"/>
  <c r="M59" i="1"/>
  <c r="R59" i="1" s="1"/>
  <c r="M44" i="1"/>
  <c r="Q44" i="1" s="1"/>
  <c r="M43" i="1"/>
  <c r="O43" i="1" s="1"/>
  <c r="M62" i="1"/>
  <c r="R62" i="1" s="1"/>
  <c r="M47" i="1"/>
  <c r="Q47" i="1" s="1"/>
  <c r="M61" i="1"/>
  <c r="R61" i="1" s="1"/>
  <c r="M56" i="1"/>
  <c r="O56" i="1" s="1"/>
  <c r="M46" i="1"/>
  <c r="Q46" i="1" s="1"/>
  <c r="O54" i="1"/>
  <c r="R54" i="1"/>
  <c r="Q54" i="1"/>
  <c r="S54" i="1" s="1"/>
  <c r="O50" i="1"/>
  <c r="Q50" i="1"/>
  <c r="R50" i="1"/>
  <c r="R44" i="1"/>
  <c r="O52" i="1"/>
  <c r="Q52" i="1"/>
  <c r="R48" i="1"/>
  <c r="Q48" i="1"/>
  <c r="S48" i="1" s="1"/>
  <c r="O48" i="1"/>
  <c r="M58" i="1"/>
  <c r="O58" i="1"/>
  <c r="Q59" i="1" l="1"/>
  <c r="S52" i="1"/>
  <c r="O59" i="1"/>
  <c r="S50" i="1"/>
  <c r="Q45" i="1"/>
  <c r="Q51" i="1"/>
  <c r="S44" i="1"/>
  <c r="U44" i="1" s="1"/>
  <c r="W44" i="1" s="1"/>
  <c r="O44" i="1"/>
  <c r="R56" i="1"/>
  <c r="R43" i="1"/>
  <c r="S59" i="1"/>
  <c r="U59" i="1" s="1"/>
  <c r="W59" i="1" s="1"/>
  <c r="Q56" i="1"/>
  <c r="R45" i="1"/>
  <c r="R51" i="1"/>
  <c r="Q43" i="1"/>
  <c r="O47" i="1"/>
  <c r="Q62" i="1"/>
  <c r="S62" i="1" s="1"/>
  <c r="U62" i="1" s="1"/>
  <c r="W62" i="1" s="1"/>
  <c r="O46" i="1"/>
  <c r="Q61" i="1"/>
  <c r="S61" i="1" s="1"/>
  <c r="U61" i="1" s="1"/>
  <c r="W61" i="1" s="1"/>
  <c r="R47" i="1"/>
  <c r="S47" i="1" s="1"/>
  <c r="U47" i="1" s="1"/>
  <c r="W47" i="1" s="1"/>
  <c r="O62" i="1"/>
  <c r="R46" i="1"/>
  <c r="S46" i="1" s="1"/>
  <c r="U46" i="1" s="1"/>
  <c r="W46" i="1" s="1"/>
  <c r="O61" i="1"/>
  <c r="U52" i="1"/>
  <c r="W52" i="1"/>
  <c r="U50" i="1"/>
  <c r="W50" i="1" s="1"/>
  <c r="U48" i="1"/>
  <c r="W48" i="1" s="1"/>
  <c r="U54" i="1"/>
  <c r="W54" i="1" s="1"/>
  <c r="R58" i="1"/>
  <c r="Q58" i="1"/>
  <c r="S56" i="1" l="1"/>
  <c r="U56" i="1" s="1"/>
  <c r="S51" i="1"/>
  <c r="U51" i="1" s="1"/>
  <c r="W51" i="1" s="1"/>
  <c r="S45" i="1"/>
  <c r="U45" i="1" s="1"/>
  <c r="W45" i="1" s="1"/>
  <c r="W56" i="1"/>
  <c r="S43" i="1"/>
  <c r="U43" i="1" s="1"/>
  <c r="W43" i="1" s="1"/>
  <c r="S58" i="1"/>
  <c r="U58" i="1" s="1"/>
  <c r="W58" i="1" s="1"/>
</calcChain>
</file>

<file path=xl/sharedStrings.xml><?xml version="1.0" encoding="utf-8"?>
<sst xmlns="http://schemas.openxmlformats.org/spreadsheetml/2006/main" count="96" uniqueCount="55">
  <si>
    <t xml:space="preserve">                EQUAL OPPORTUNITIES</t>
  </si>
  <si>
    <t>PIANO DEL PERSONALE</t>
  </si>
  <si>
    <t>PERSONALE DIPENDENTE</t>
  </si>
  <si>
    <t>Numero risorse</t>
  </si>
  <si>
    <t xml:space="preserve">Descrizione competenza </t>
  </si>
  <si>
    <t>Tipologia contratto</t>
  </si>
  <si>
    <t>Contratto di riferimento</t>
  </si>
  <si>
    <t>Inquadramento</t>
  </si>
  <si>
    <t>Costo annuo unitario Aziendale (€)</t>
  </si>
  <si>
    <t>Costo annuo totale (€)</t>
  </si>
  <si>
    <t>Frontend Engineer</t>
  </si>
  <si>
    <t>Tempo Indeterminato</t>
  </si>
  <si>
    <t>N/A</t>
  </si>
  <si>
    <t>Front-end Division</t>
  </si>
  <si>
    <t>Backend Engineer</t>
  </si>
  <si>
    <t>Back-end Division</t>
  </si>
  <si>
    <t>Database Engineer</t>
  </si>
  <si>
    <t>Database Division</t>
  </si>
  <si>
    <t>Operation Analyst</t>
  </si>
  <si>
    <t>Operation Team</t>
  </si>
  <si>
    <t>Financial Analyst</t>
  </si>
  <si>
    <t>Tempo Ideterminato</t>
  </si>
  <si>
    <t>Financial Analysis Team</t>
  </si>
  <si>
    <t xml:space="preserve">Marketing Specialist </t>
  </si>
  <si>
    <t>Tempo Determinato</t>
  </si>
  <si>
    <t>Marketint Team</t>
  </si>
  <si>
    <t>Sales Specialist</t>
  </si>
  <si>
    <t>Sales Team</t>
  </si>
  <si>
    <t>HR Specialist</t>
  </si>
  <si>
    <t>Human Resource Team</t>
  </si>
  <si>
    <t>HR Counseling Specialist</t>
  </si>
  <si>
    <t>Counseling Team</t>
  </si>
  <si>
    <t xml:space="preserve"> Totali (€)</t>
  </si>
  <si>
    <t>Collaboratori aventi i requisiti di cui all'art. 25, comma 2, lettera h), numero 2), del D.L. n. 179/2012</t>
  </si>
  <si>
    <t>Descrizione competenza</t>
  </si>
  <si>
    <t>Chief Executive Officer</t>
  </si>
  <si>
    <t>Chief Technology Officer</t>
  </si>
  <si>
    <t>Chief Operating Officer</t>
  </si>
  <si>
    <t>Chief Financial Officer</t>
  </si>
  <si>
    <t>Chef Marketing Officer</t>
  </si>
  <si>
    <t>Chief People Officer</t>
  </si>
  <si>
    <t>COSTO DELLA MANODOPERA</t>
  </si>
  <si>
    <t>Stipendio mensile lordo (€)</t>
  </si>
  <si>
    <t>Stipendio mensile netto (€)</t>
  </si>
  <si>
    <t>Retribuzione diretta annua (€)</t>
  </si>
  <si>
    <t>Straordinario 
(€)</t>
  </si>
  <si>
    <t>Totale retribuzione diretta (€)</t>
  </si>
  <si>
    <t>Retribuzione Indiretta (13°) (€)</t>
  </si>
  <si>
    <t>Totale (€)</t>
  </si>
  <si>
    <t>In busta paga il dipendente percepisce annualmente (€)</t>
  </si>
  <si>
    <t>Contributi 37,20%</t>
  </si>
  <si>
    <t>Trattamento di 
Fine Rapporto annuo (€)</t>
  </si>
  <si>
    <t>Totale costo m.o. annuo (€)</t>
  </si>
  <si>
    <t>IRAP 3,90%</t>
  </si>
  <si>
    <t>Totale costo aziendale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</si>
</sst>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€-2]\ #,##0;[Red]\-[$€-2]\ #,##0"/>
    <numFmt numFmtId="165" formatCode="[$€-2]\ #,##0.00"/>
    <numFmt numFmtId="166" formatCode="[$€-2]\ #,##0.00;[Red]\-[$€-2]\ #,##0.00"/>
  </numFmts>
  <fonts count="13">
    <font>
      <sz val="11"/>
      <color theme="1"/>
      <name val="Aptos Narrow"/>
      <family val="2"/>
      <scheme val="minor"/>
    </font>
    <font>
      <sz val="12"/>
      <color theme="1"/>
      <name val="Abad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5"/>
      <color theme="1"/>
      <name val="Arial"/>
      <family val="2"/>
    </font>
    <font>
      <b/>
      <sz val="16"/>
      <color rgb="FF000000"/>
      <name val="Arial"/>
      <family val="2"/>
    </font>
    <font>
      <sz val="12"/>
      <color theme="1"/>
      <name val="Abadi"/>
    </font>
    <font>
      <sz val="11"/>
      <color theme="1"/>
      <name val="Abadi"/>
      <family val="2"/>
    </font>
    <font>
      <sz val="11"/>
      <color theme="1"/>
      <name val="Arial"/>
    </font>
    <font>
      <sz val="11"/>
      <color rgb="FF000000"/>
      <name val="Arial"/>
    </font>
    <font>
      <b/>
      <sz val="12"/>
      <color rgb="FF000000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7E6E6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165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left" vertical="center"/>
    </xf>
    <xf numFmtId="165" fontId="3" fillId="5" borderId="1" xfId="0" applyNumberFormat="1" applyFont="1" applyFill="1" applyBorder="1" applyAlignment="1">
      <alignment horizontal="left" vertical="center"/>
    </xf>
    <xf numFmtId="166" fontId="3" fillId="6" borderId="1" xfId="0" applyNumberFormat="1" applyFont="1" applyFill="1" applyBorder="1" applyAlignment="1">
      <alignment horizontal="left" vertical="center"/>
    </xf>
    <xf numFmtId="165" fontId="3" fillId="5" borderId="5" xfId="0" applyNumberFormat="1" applyFont="1" applyFill="1" applyBorder="1" applyAlignment="1">
      <alignment horizontal="left" vertical="center"/>
    </xf>
    <xf numFmtId="165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165" fontId="4" fillId="5" borderId="6" xfId="0" applyNumberFormat="1" applyFont="1" applyFill="1" applyBorder="1" applyAlignment="1">
      <alignment horizontal="left" vertical="center"/>
    </xf>
    <xf numFmtId="0" fontId="3" fillId="5" borderId="9" xfId="0" applyFont="1" applyFill="1" applyBorder="1" applyAlignment="1">
      <alignment horizontal="left" vertical="center"/>
    </xf>
    <xf numFmtId="165" fontId="3" fillId="5" borderId="2" xfId="0" applyNumberFormat="1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165" fontId="3" fillId="5" borderId="9" xfId="0" applyNumberFormat="1" applyFont="1" applyFill="1" applyBorder="1" applyAlignment="1">
      <alignment horizontal="left" vertical="center"/>
    </xf>
    <xf numFmtId="0" fontId="3" fillId="5" borderId="9" xfId="0" applyFont="1" applyFill="1" applyBorder="1" applyAlignment="1">
      <alignment horizontal="left" vertical="center"/>
    </xf>
    <xf numFmtId="165" fontId="3" fillId="5" borderId="2" xfId="0" applyNumberFormat="1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165" fontId="3" fillId="0" borderId="0" xfId="0" applyNumberFormat="1" applyFont="1" applyAlignment="1">
      <alignment horizontal="left" vertical="center"/>
    </xf>
    <xf numFmtId="165" fontId="3" fillId="6" borderId="1" xfId="0" applyNumberFormat="1" applyFont="1" applyFill="1" applyBorder="1" applyAlignment="1">
      <alignment horizontal="left" vertical="center"/>
    </xf>
    <xf numFmtId="165" fontId="3" fillId="5" borderId="5" xfId="0" applyNumberFormat="1" applyFont="1" applyFill="1" applyBorder="1" applyAlignment="1">
      <alignment horizontal="left" vertical="center"/>
    </xf>
    <xf numFmtId="165" fontId="3" fillId="5" borderId="6" xfId="0" applyNumberFormat="1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5" fontId="3" fillId="0" borderId="5" xfId="0" applyNumberFormat="1" applyFont="1" applyBorder="1" applyAlignment="1">
      <alignment horizontal="left" vertical="center"/>
    </xf>
    <xf numFmtId="165" fontId="3" fillId="5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1</xdr:row>
      <xdr:rowOff>38100</xdr:rowOff>
    </xdr:from>
    <xdr:to>
      <xdr:col>1</xdr:col>
      <xdr:colOff>1066800</xdr:colOff>
      <xdr:row>6</xdr:row>
      <xdr:rowOff>142875</xdr:rowOff>
    </xdr:to>
    <xdr:pic>
      <xdr:nvPicPr>
        <xdr:cNvPr id="14" name="Picture 2">
          <a:extLst>
            <a:ext uri="{FF2B5EF4-FFF2-40B4-BE49-F238E27FC236}">
              <a16:creationId xmlns:a16="http://schemas.microsoft.com/office/drawing/2014/main" id="{7CAF1140-38F1-49E3-ADF8-C8CE46F71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" y="228600"/>
          <a:ext cx="895350" cy="1057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79A13-FAAB-47A2-9BEC-F3E0BD9F8900}">
  <dimension ref="A1:AP80"/>
  <sheetViews>
    <sheetView tabSelected="1" topLeftCell="A6" zoomScaleNormal="50" workbookViewId="0">
      <selection activeCell="I38" sqref="I38"/>
    </sheetView>
  </sheetViews>
  <sheetFormatPr defaultColWidth="14" defaultRowHeight="19.350000000000001" customHeight="1"/>
  <cols>
    <col min="1" max="1" width="9.140625" customWidth="1"/>
    <col min="2" max="4" width="32.85546875" style="1" customWidth="1"/>
    <col min="5" max="5" width="24.85546875" style="1" customWidth="1"/>
    <col min="6" max="6" width="8.85546875" style="1" customWidth="1"/>
    <col min="7" max="7" width="16.85546875" style="1" customWidth="1"/>
    <col min="8" max="8" width="8.85546875" style="1" customWidth="1"/>
    <col min="9" max="9" width="24.85546875" style="1" customWidth="1"/>
    <col min="10" max="10" width="8.85546875" style="1" customWidth="1"/>
    <col min="11" max="11" width="16.85546875" style="1" customWidth="1"/>
    <col min="12" max="12" width="8.85546875" style="1" customWidth="1"/>
    <col min="13" max="13" width="24.85546875" style="1" customWidth="1"/>
    <col min="14" max="14" width="8.85546875" style="1" customWidth="1"/>
    <col min="15" max="15" width="32.85546875" style="1" customWidth="1"/>
    <col min="16" max="16" width="16.85546875" style="1" customWidth="1"/>
    <col min="17" max="17" width="24.85546875" style="1" customWidth="1"/>
    <col min="18" max="19" width="32.85546875" style="1" customWidth="1"/>
    <col min="20" max="20" width="8.85546875" style="1" customWidth="1"/>
    <col min="21" max="21" width="16.85546875" style="1" customWidth="1"/>
    <col min="22" max="22" width="8.85546875" style="1" customWidth="1"/>
    <col min="23" max="23" width="32.85546875" style="1" customWidth="1"/>
    <col min="24" max="16384" width="14" style="1"/>
  </cols>
  <sheetData>
    <row r="1" spans="1:42" ht="15" customHeight="1"/>
    <row r="2" spans="1:42" ht="15" customHeight="1">
      <c r="B2" s="54" t="s">
        <v>0</v>
      </c>
      <c r="C2" s="54"/>
      <c r="D2" s="7"/>
      <c r="E2" s="6"/>
      <c r="F2" s="6"/>
      <c r="G2" s="6"/>
      <c r="H2" s="6"/>
      <c r="I2" s="6"/>
    </row>
    <row r="3" spans="1:42" ht="15" customHeight="1">
      <c r="B3" s="54"/>
      <c r="C3" s="54"/>
      <c r="D3" s="7"/>
      <c r="E3" s="6"/>
      <c r="F3" s="6"/>
      <c r="G3" s="6"/>
      <c r="H3" s="6"/>
      <c r="I3" s="6"/>
    </row>
    <row r="4" spans="1:42" ht="15" customHeight="1">
      <c r="B4" s="54"/>
      <c r="C4" s="54"/>
      <c r="D4" s="7"/>
      <c r="E4" s="6"/>
      <c r="F4" s="6"/>
      <c r="G4" s="6"/>
      <c r="H4" s="6"/>
      <c r="I4" s="6"/>
    </row>
    <row r="5" spans="1:42" ht="15" customHeight="1">
      <c r="B5" s="54"/>
      <c r="C5" s="54"/>
      <c r="D5" s="7"/>
      <c r="E5" s="6"/>
      <c r="F5" s="6"/>
      <c r="G5" s="6"/>
      <c r="H5" s="6"/>
      <c r="I5" s="6"/>
    </row>
    <row r="6" spans="1:42" ht="15" customHeight="1">
      <c r="B6" s="54"/>
      <c r="C6" s="54"/>
      <c r="D6" s="7"/>
      <c r="E6" s="6"/>
      <c r="F6" s="6"/>
      <c r="G6" s="6"/>
      <c r="H6" s="6"/>
      <c r="I6" s="6"/>
    </row>
    <row r="7" spans="1:42" ht="15" customHeight="1">
      <c r="B7" s="54"/>
      <c r="C7" s="54"/>
      <c r="D7" s="7"/>
      <c r="E7" s="6"/>
      <c r="F7" s="6"/>
      <c r="G7" s="6"/>
      <c r="H7" s="6"/>
      <c r="I7" s="6"/>
    </row>
    <row r="8" spans="1:42" ht="15" customHeight="1"/>
    <row r="9" spans="1:42" ht="15" customHeight="1">
      <c r="B9" s="53" t="s">
        <v>1</v>
      </c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6"/>
      <c r="Y9" s="6"/>
      <c r="Z9" s="6"/>
      <c r="AA9" s="6"/>
      <c r="AB9" s="6"/>
      <c r="AC9" s="6"/>
      <c r="AD9" s="6"/>
    </row>
    <row r="10" spans="1:42" ht="15" customHeight="1"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6"/>
      <c r="Y10" s="6"/>
      <c r="Z10" s="6"/>
      <c r="AA10" s="6"/>
      <c r="AB10" s="6"/>
      <c r="AC10" s="6"/>
      <c r="AD10" s="6"/>
    </row>
    <row r="11" spans="1:42" ht="15" customHeight="1"/>
    <row r="12" spans="1:42" customFormat="1" ht="30" customHeight="1">
      <c r="A12" s="4"/>
      <c r="B12" s="36" t="s">
        <v>2</v>
      </c>
      <c r="C12" s="36"/>
      <c r="D12" s="36"/>
      <c r="E12" s="36"/>
      <c r="F12" s="36"/>
      <c r="G12" s="36"/>
      <c r="H12" s="36"/>
      <c r="I12" s="36"/>
      <c r="J12" s="36"/>
      <c r="K12" s="36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 spans="1:42" ht="30" customHeight="1">
      <c r="A13" s="2"/>
      <c r="B13" s="8" t="s">
        <v>3</v>
      </c>
      <c r="C13" s="8" t="s">
        <v>4</v>
      </c>
      <c r="D13" s="8" t="s">
        <v>5</v>
      </c>
      <c r="E13" s="33" t="s">
        <v>6</v>
      </c>
      <c r="F13" s="33"/>
      <c r="G13" s="33" t="s">
        <v>7</v>
      </c>
      <c r="H13" s="33"/>
      <c r="I13" s="9" t="s">
        <v>8</v>
      </c>
      <c r="J13" s="34" t="s">
        <v>9</v>
      </c>
      <c r="K13" s="34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</row>
    <row r="14" spans="1:42" ht="15" customHeight="1">
      <c r="A14" s="2"/>
      <c r="B14" s="15">
        <v>3</v>
      </c>
      <c r="C14" s="15" t="s">
        <v>10</v>
      </c>
      <c r="D14" s="15" t="s">
        <v>11</v>
      </c>
      <c r="E14" s="27" t="s">
        <v>12</v>
      </c>
      <c r="F14" s="27"/>
      <c r="G14" s="29" t="s">
        <v>13</v>
      </c>
      <c r="H14" s="29"/>
      <c r="I14" s="17">
        <f>W50</f>
        <v>31315.020651428571</v>
      </c>
      <c r="J14" s="35">
        <f>I14*B14</f>
        <v>93945.061954285717</v>
      </c>
      <c r="K14" s="2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</row>
    <row r="15" spans="1:42" ht="15" customHeight="1">
      <c r="A15" s="2"/>
      <c r="B15" s="15">
        <v>3</v>
      </c>
      <c r="C15" s="15" t="s">
        <v>14</v>
      </c>
      <c r="D15" s="15" t="s">
        <v>11</v>
      </c>
      <c r="E15" s="30" t="s">
        <v>12</v>
      </c>
      <c r="F15" s="30"/>
      <c r="G15" s="29" t="s">
        <v>15</v>
      </c>
      <c r="H15" s="29"/>
      <c r="I15" s="17">
        <f>W51</f>
        <v>31315.020651428571</v>
      </c>
      <c r="J15" s="37">
        <f t="shared" ref="J15:J27" si="0">I15*B15</f>
        <v>93945.061954285717</v>
      </c>
      <c r="K15" s="3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</row>
    <row r="16" spans="1:42" ht="15" customHeight="1">
      <c r="A16" s="2"/>
      <c r="B16" s="15">
        <v>3</v>
      </c>
      <c r="C16" s="15" t="s">
        <v>16</v>
      </c>
      <c r="D16" s="15" t="s">
        <v>11</v>
      </c>
      <c r="E16" s="30" t="s">
        <v>12</v>
      </c>
      <c r="F16" s="30"/>
      <c r="G16" s="29" t="s">
        <v>17</v>
      </c>
      <c r="H16" s="29"/>
      <c r="I16" s="19">
        <f>W52</f>
        <v>31315.020651428571</v>
      </c>
      <c r="J16" s="39">
        <f t="shared" si="0"/>
        <v>93945.061954285717</v>
      </c>
      <c r="K16" s="4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</row>
    <row r="17" spans="1:42" ht="15" customHeight="1">
      <c r="A17" s="2"/>
      <c r="B17" s="13"/>
      <c r="C17" s="13"/>
      <c r="D17" s="13"/>
      <c r="E17" s="26"/>
      <c r="F17" s="26"/>
      <c r="G17" s="28"/>
      <c r="H17" s="28"/>
      <c r="I17" s="13"/>
      <c r="J17" s="41"/>
      <c r="K17" s="2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</row>
    <row r="18" spans="1:42" ht="15" customHeight="1">
      <c r="A18" s="2"/>
      <c r="B18" s="15">
        <v>2</v>
      </c>
      <c r="C18" s="15" t="s">
        <v>18</v>
      </c>
      <c r="D18" s="15" t="s">
        <v>11</v>
      </c>
      <c r="E18" s="30" t="s">
        <v>12</v>
      </c>
      <c r="F18" s="30"/>
      <c r="G18" s="29" t="s">
        <v>19</v>
      </c>
      <c r="H18" s="29"/>
      <c r="I18" s="19">
        <f>W54</f>
        <v>31315.020651428571</v>
      </c>
      <c r="J18" s="39">
        <f t="shared" si="0"/>
        <v>62630.041302857142</v>
      </c>
      <c r="K18" s="4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</row>
    <row r="19" spans="1:42" ht="15" customHeight="1">
      <c r="A19" s="2"/>
      <c r="B19" s="13"/>
      <c r="C19" s="13"/>
      <c r="D19" s="13"/>
      <c r="E19" s="26"/>
      <c r="F19" s="26"/>
      <c r="G19" s="28"/>
      <c r="H19" s="28"/>
      <c r="I19" s="13"/>
      <c r="J19" s="41"/>
      <c r="K19" s="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</row>
    <row r="20" spans="1:42" ht="15" customHeight="1">
      <c r="A20" s="2"/>
      <c r="B20" s="15">
        <v>2</v>
      </c>
      <c r="C20" s="15" t="s">
        <v>20</v>
      </c>
      <c r="D20" s="15" t="s">
        <v>21</v>
      </c>
      <c r="E20" s="31" t="s">
        <v>12</v>
      </c>
      <c r="F20" s="32"/>
      <c r="G20" s="29" t="s">
        <v>22</v>
      </c>
      <c r="H20" s="29"/>
      <c r="I20" s="17">
        <f>W56</f>
        <v>31315.020651428571</v>
      </c>
      <c r="J20" s="35">
        <f t="shared" si="0"/>
        <v>62630.041302857142</v>
      </c>
      <c r="K20" s="2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</row>
    <row r="21" spans="1:42" ht="15" customHeight="1">
      <c r="A21" s="2"/>
      <c r="B21" s="13"/>
      <c r="C21" s="13"/>
      <c r="D21" s="13"/>
      <c r="E21" s="26"/>
      <c r="F21" s="26"/>
      <c r="G21" s="28"/>
      <c r="H21" s="28"/>
      <c r="I21" s="13"/>
      <c r="J21" s="41"/>
      <c r="K21" s="28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</row>
    <row r="22" spans="1:42" ht="15" customHeight="1">
      <c r="A22" s="2"/>
      <c r="B22" s="15">
        <v>1</v>
      </c>
      <c r="C22" s="15" t="s">
        <v>23</v>
      </c>
      <c r="D22" s="15" t="s">
        <v>24</v>
      </c>
      <c r="E22" s="31" t="s">
        <v>12</v>
      </c>
      <c r="F22" s="32"/>
      <c r="G22" s="29" t="s">
        <v>25</v>
      </c>
      <c r="H22" s="29"/>
      <c r="I22" s="17">
        <f>W58</f>
        <v>24356.127173333334</v>
      </c>
      <c r="J22" s="35">
        <f t="shared" si="0"/>
        <v>24356.127173333334</v>
      </c>
      <c r="K22" s="2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  <row r="23" spans="1:42" ht="15" customHeight="1">
      <c r="A23" s="2"/>
      <c r="B23" s="15">
        <v>1</v>
      </c>
      <c r="C23" s="15" t="s">
        <v>26</v>
      </c>
      <c r="D23" s="15" t="s">
        <v>11</v>
      </c>
      <c r="E23" s="27" t="s">
        <v>12</v>
      </c>
      <c r="F23" s="27"/>
      <c r="G23" s="29" t="s">
        <v>27</v>
      </c>
      <c r="H23" s="29"/>
      <c r="I23" s="17">
        <f>W59</f>
        <v>24356.127173333334</v>
      </c>
      <c r="J23" s="35">
        <f t="shared" si="0"/>
        <v>24356.127173333334</v>
      </c>
      <c r="K23" s="2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</row>
    <row r="24" spans="1:42" ht="15" customHeight="1">
      <c r="A24" s="2"/>
      <c r="B24" s="13"/>
      <c r="C24" s="13"/>
      <c r="D24" s="13"/>
      <c r="E24" s="26"/>
      <c r="F24" s="26"/>
      <c r="G24" s="46"/>
      <c r="H24" s="46"/>
      <c r="I24" s="13"/>
      <c r="J24" s="41"/>
      <c r="K24" s="28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</row>
    <row r="25" spans="1:42" ht="15" customHeight="1">
      <c r="A25" s="2"/>
      <c r="B25" s="15">
        <v>1</v>
      </c>
      <c r="C25" s="15" t="s">
        <v>28</v>
      </c>
      <c r="D25" s="15" t="s">
        <v>24</v>
      </c>
      <c r="E25" s="27" t="s">
        <v>12</v>
      </c>
      <c r="F25" s="27"/>
      <c r="G25" s="29" t="s">
        <v>29</v>
      </c>
      <c r="H25" s="29"/>
      <c r="I25" s="17">
        <f>W61</f>
        <v>24356.127173333334</v>
      </c>
      <c r="J25" s="35">
        <f t="shared" si="0"/>
        <v>24356.127173333334</v>
      </c>
      <c r="K25" s="2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</row>
    <row r="26" spans="1:42" ht="15" customHeight="1">
      <c r="A26" s="2"/>
      <c r="B26" s="23">
        <v>1</v>
      </c>
      <c r="C26" s="23" t="s">
        <v>30</v>
      </c>
      <c r="D26" s="23" t="s">
        <v>11</v>
      </c>
      <c r="E26" s="56" t="s">
        <v>12</v>
      </c>
      <c r="F26" s="56"/>
      <c r="G26" s="38" t="s">
        <v>31</v>
      </c>
      <c r="H26" s="38"/>
      <c r="I26" s="17">
        <f>W62</f>
        <v>24356.127173333334</v>
      </c>
      <c r="J26" s="35">
        <f t="shared" si="0"/>
        <v>24356.127173333334</v>
      </c>
      <c r="K26" s="2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</row>
    <row r="27" spans="1:42" ht="30" customHeight="1">
      <c r="A27" s="2"/>
      <c r="B27" s="57" t="s">
        <v>32</v>
      </c>
      <c r="C27" s="57"/>
      <c r="D27" s="57"/>
      <c r="E27" s="57"/>
      <c r="F27" s="57"/>
      <c r="G27" s="57"/>
      <c r="H27" s="57"/>
      <c r="I27" s="22">
        <f>I14+I15+I16+I18+I20+I22+I23+I25+I26</f>
        <v>253999.61195047622</v>
      </c>
      <c r="J27" s="35">
        <f>J14+J15+J16+J18+J20+J22+J23+J25+J26</f>
        <v>504519.77716190473</v>
      </c>
      <c r="K27" s="2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</row>
    <row r="28" spans="1:42" ht="15" customHeight="1">
      <c r="A28" s="4"/>
      <c r="B28" s="2"/>
      <c r="C28" s="2"/>
      <c r="D28" s="2"/>
      <c r="E28" s="47"/>
      <c r="F28" s="47"/>
      <c r="G28" s="47"/>
      <c r="H28" s="47"/>
      <c r="I28" s="2"/>
      <c r="J28" s="47"/>
      <c r="K28" s="4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</row>
    <row r="29" spans="1:42" ht="30" customHeight="1">
      <c r="A29" s="4"/>
      <c r="B29" s="55" t="s">
        <v>33</v>
      </c>
      <c r="C29" s="55"/>
      <c r="D29" s="55"/>
      <c r="E29" s="55"/>
      <c r="F29" s="55"/>
      <c r="G29" s="55"/>
      <c r="H29" s="21"/>
      <c r="I29" s="2"/>
      <c r="J29" s="47"/>
      <c r="K29" s="4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</row>
    <row r="30" spans="1:42" ht="30" customHeight="1">
      <c r="A30" s="4"/>
      <c r="B30" s="10" t="s">
        <v>3</v>
      </c>
      <c r="C30" s="10" t="s">
        <v>34</v>
      </c>
      <c r="D30" s="10" t="s">
        <v>5</v>
      </c>
      <c r="E30" s="11" t="s">
        <v>8</v>
      </c>
      <c r="F30" s="51" t="s">
        <v>9</v>
      </c>
      <c r="G30" s="52"/>
      <c r="H30" s="2"/>
      <c r="I30" s="2"/>
      <c r="J30" s="47"/>
      <c r="K30" s="4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</row>
    <row r="31" spans="1:42" ht="15" customHeight="1">
      <c r="A31" s="4"/>
      <c r="B31" s="15">
        <v>1</v>
      </c>
      <c r="C31" s="15" t="s">
        <v>35</v>
      </c>
      <c r="D31" s="15" t="s">
        <v>11</v>
      </c>
      <c r="E31" s="16">
        <f>W43</f>
        <v>41753.360868571428</v>
      </c>
      <c r="F31" s="35">
        <f>E31*B31</f>
        <v>41753.360868571428</v>
      </c>
      <c r="G31" s="35"/>
      <c r="H31" s="2"/>
      <c r="I31" s="2"/>
      <c r="J31" s="47"/>
      <c r="K31" s="4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</row>
    <row r="32" spans="1:42" ht="15" customHeight="1">
      <c r="A32" s="4"/>
      <c r="B32" s="14"/>
      <c r="C32" s="14"/>
      <c r="D32" s="14"/>
      <c r="E32" s="14"/>
      <c r="F32" s="41"/>
      <c r="G32" s="41"/>
      <c r="H32" s="2"/>
      <c r="I32" s="2"/>
      <c r="J32" s="47"/>
      <c r="K32" s="47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</row>
    <row r="33" spans="1:42" ht="15" customHeight="1">
      <c r="A33" s="4"/>
      <c r="B33" s="15">
        <v>1</v>
      </c>
      <c r="C33" s="15" t="s">
        <v>36</v>
      </c>
      <c r="D33" s="15" t="s">
        <v>11</v>
      </c>
      <c r="E33" s="16">
        <f>W44</f>
        <v>41753.360868571428</v>
      </c>
      <c r="F33" s="35">
        <f t="shared" ref="F32:F38" si="1">E33*B33</f>
        <v>41753.360868571428</v>
      </c>
      <c r="G33" s="35"/>
      <c r="H33" s="2"/>
      <c r="I33" s="2"/>
      <c r="J33" s="47"/>
      <c r="K33" s="47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</row>
    <row r="34" spans="1:42" ht="15" customHeight="1">
      <c r="A34" s="4"/>
      <c r="B34" s="15">
        <v>1</v>
      </c>
      <c r="C34" s="15" t="s">
        <v>37</v>
      </c>
      <c r="D34" s="15" t="s">
        <v>11</v>
      </c>
      <c r="E34" s="16">
        <f>W45</f>
        <v>41753.360868571428</v>
      </c>
      <c r="F34" s="35">
        <f t="shared" si="1"/>
        <v>41753.360868571428</v>
      </c>
      <c r="G34" s="35"/>
      <c r="H34" s="2"/>
      <c r="I34" s="2"/>
      <c r="J34" s="47"/>
      <c r="K34" s="47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</row>
    <row r="35" spans="1:42" ht="15" customHeight="1">
      <c r="A35" s="4"/>
      <c r="B35" s="15">
        <v>1</v>
      </c>
      <c r="C35" s="15" t="s">
        <v>38</v>
      </c>
      <c r="D35" s="15" t="s">
        <v>11</v>
      </c>
      <c r="E35" s="16">
        <f>W46</f>
        <v>41753.360868571428</v>
      </c>
      <c r="F35" s="35">
        <f t="shared" si="1"/>
        <v>41753.360868571428</v>
      </c>
      <c r="G35" s="35"/>
      <c r="H35" s="2"/>
      <c r="I35" s="2"/>
      <c r="J35" s="47"/>
      <c r="K35" s="47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</row>
    <row r="36" spans="1:42" ht="15" customHeight="1">
      <c r="A36" s="4"/>
      <c r="B36" s="14"/>
      <c r="C36" s="14"/>
      <c r="D36" s="14"/>
      <c r="E36" s="14"/>
      <c r="F36" s="41"/>
      <c r="G36" s="41"/>
      <c r="H36" s="2"/>
      <c r="I36" s="2"/>
      <c r="J36" s="47"/>
      <c r="K36" s="47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</row>
    <row r="37" spans="1:42" ht="15" customHeight="1">
      <c r="A37" s="4"/>
      <c r="B37" s="15">
        <v>1</v>
      </c>
      <c r="C37" s="15" t="s">
        <v>39</v>
      </c>
      <c r="D37" s="15" t="s">
        <v>11</v>
      </c>
      <c r="E37" s="17">
        <f>W47</f>
        <v>34794.467390476202</v>
      </c>
      <c r="F37" s="35">
        <f t="shared" si="1"/>
        <v>34794.467390476202</v>
      </c>
      <c r="G37" s="35"/>
      <c r="H37" s="2"/>
      <c r="I37" s="2"/>
      <c r="J37" s="47"/>
      <c r="K37" s="47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</row>
    <row r="38" spans="1:42" ht="15" customHeight="1">
      <c r="A38" s="4"/>
      <c r="B38" s="15">
        <v>1</v>
      </c>
      <c r="C38" s="15" t="s">
        <v>40</v>
      </c>
      <c r="D38" s="15" t="s">
        <v>11</v>
      </c>
      <c r="E38" s="17">
        <f>W48</f>
        <v>34794.467390476202</v>
      </c>
      <c r="F38" s="43">
        <f t="shared" si="1"/>
        <v>34794.467390476202</v>
      </c>
      <c r="G38" s="44"/>
      <c r="H38" s="2"/>
      <c r="I38" s="2"/>
      <c r="J38" s="47"/>
      <c r="K38" s="47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</row>
    <row r="39" spans="1:42" ht="30" customHeight="1">
      <c r="A39" s="4"/>
      <c r="B39" s="45" t="s">
        <v>32</v>
      </c>
      <c r="C39" s="45"/>
      <c r="D39" s="45"/>
      <c r="E39" s="18">
        <f>E31+E33+E34+E35+E37+E38</f>
        <v>236602.37825523812</v>
      </c>
      <c r="F39" s="42">
        <f>F31+F33+F34+F35+F37+F38</f>
        <v>236602.37825523812</v>
      </c>
      <c r="G39" s="42"/>
      <c r="H39" s="2"/>
      <c r="I39" s="2"/>
      <c r="J39" s="47"/>
      <c r="K39" s="47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</row>
    <row r="40" spans="1:42" ht="15" customHeight="1">
      <c r="A40" s="4"/>
      <c r="B40" s="2"/>
      <c r="C40" s="2"/>
      <c r="D40" s="2"/>
      <c r="E40" s="2"/>
      <c r="F40" s="47"/>
      <c r="G40" s="47"/>
      <c r="H40" s="2"/>
      <c r="I40" s="2"/>
      <c r="J40" s="47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</row>
    <row r="41" spans="1:42" ht="30" customHeight="1">
      <c r="A41" s="4"/>
      <c r="B41" s="36" t="s">
        <v>41</v>
      </c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</row>
    <row r="42" spans="1:42" ht="30" customHeight="1">
      <c r="A42" s="4"/>
      <c r="B42" s="12" t="s">
        <v>34</v>
      </c>
      <c r="C42" s="12" t="s">
        <v>42</v>
      </c>
      <c r="D42" s="12" t="s">
        <v>43</v>
      </c>
      <c r="E42" s="48" t="s">
        <v>44</v>
      </c>
      <c r="F42" s="49"/>
      <c r="G42" s="25" t="s">
        <v>45</v>
      </c>
      <c r="H42" s="48" t="s">
        <v>46</v>
      </c>
      <c r="I42" s="49"/>
      <c r="J42" s="48" t="s">
        <v>47</v>
      </c>
      <c r="K42" s="50"/>
      <c r="L42" s="49"/>
      <c r="M42" s="12" t="s">
        <v>48</v>
      </c>
      <c r="O42" s="9" t="s">
        <v>49</v>
      </c>
      <c r="P42" s="2"/>
      <c r="Q42" s="8" t="s">
        <v>50</v>
      </c>
      <c r="R42" s="9" t="s">
        <v>51</v>
      </c>
      <c r="S42" s="8" t="s">
        <v>52</v>
      </c>
      <c r="T42" s="3"/>
      <c r="U42" s="8" t="s">
        <v>53</v>
      </c>
      <c r="V42" s="3"/>
      <c r="W42" s="8" t="s">
        <v>54</v>
      </c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</row>
    <row r="43" spans="1:42" ht="15" customHeight="1">
      <c r="A43" s="4"/>
      <c r="B43" s="15" t="s">
        <v>35</v>
      </c>
      <c r="C43" s="17">
        <v>2400</v>
      </c>
      <c r="D43" s="17">
        <f>C43-(C43*0.3)</f>
        <v>1680</v>
      </c>
      <c r="E43" s="35">
        <f>1784*(C43/(21*8))</f>
        <v>25485.714285714286</v>
      </c>
      <c r="F43" s="35"/>
      <c r="G43" s="17">
        <v>0</v>
      </c>
      <c r="H43" s="35">
        <f>E43+G43</f>
        <v>25485.714285714286</v>
      </c>
      <c r="I43" s="29"/>
      <c r="J43" s="35">
        <f>C43</f>
        <v>2400</v>
      </c>
      <c r="K43" s="35"/>
      <c r="L43" s="35"/>
      <c r="M43" s="17">
        <f>H43+J43</f>
        <v>27885.714285714286</v>
      </c>
      <c r="N43" s="13"/>
      <c r="O43" s="17">
        <f>M43-(0.3*M43)</f>
        <v>19520</v>
      </c>
      <c r="P43" s="13"/>
      <c r="Q43" s="17">
        <f>M43*0.372</f>
        <v>10373.485714285714</v>
      </c>
      <c r="R43" s="17">
        <f>M43*0.0691</f>
        <v>1926.9028571428571</v>
      </c>
      <c r="S43" s="17">
        <f>M43+Q43+R43</f>
        <v>40186.102857142854</v>
      </c>
      <c r="T43" s="13"/>
      <c r="U43" s="17">
        <f>S43*0.039</f>
        <v>1567.2580114285713</v>
      </c>
      <c r="V43" s="13"/>
      <c r="W43" s="17">
        <f>S43+U43</f>
        <v>41753.360868571428</v>
      </c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</row>
    <row r="44" spans="1:42" ht="15" customHeight="1">
      <c r="A44" s="4"/>
      <c r="B44" s="15" t="s">
        <v>36</v>
      </c>
      <c r="C44" s="17">
        <v>2400</v>
      </c>
      <c r="D44" s="17">
        <f t="shared" ref="D44:D62" si="2">C44-(C44*0.3)</f>
        <v>1680</v>
      </c>
      <c r="E44" s="35">
        <f t="shared" ref="E44:E61" si="3">1784*(C44/(21*8))</f>
        <v>25485.714285714286</v>
      </c>
      <c r="F44" s="35"/>
      <c r="G44" s="17">
        <v>0</v>
      </c>
      <c r="H44" s="35">
        <f t="shared" ref="H44:H62" si="4">E44+G44</f>
        <v>25485.714285714286</v>
      </c>
      <c r="I44" s="29"/>
      <c r="J44" s="35">
        <f t="shared" ref="J44:J62" si="5">C44</f>
        <v>2400</v>
      </c>
      <c r="K44" s="35"/>
      <c r="L44" s="35"/>
      <c r="M44" s="17">
        <f t="shared" ref="M44:M62" si="6">H44+J44</f>
        <v>27885.714285714286</v>
      </c>
      <c r="N44" s="13"/>
      <c r="O44" s="17">
        <f t="shared" ref="O44:O63" si="7">M44-(0.3*M44)</f>
        <v>19520</v>
      </c>
      <c r="P44" s="13"/>
      <c r="Q44" s="17">
        <f t="shared" ref="Q44:Q62" si="8">M44*0.372</f>
        <v>10373.485714285714</v>
      </c>
      <c r="R44" s="17">
        <f t="shared" ref="R44:R62" si="9">M44*0.0691</f>
        <v>1926.9028571428571</v>
      </c>
      <c r="S44" s="17">
        <f t="shared" ref="S44:S62" si="10">M44+Q44+R44</f>
        <v>40186.102857142854</v>
      </c>
      <c r="T44" s="13"/>
      <c r="U44" s="17">
        <f t="shared" ref="U44:U62" si="11">S44*0.039</f>
        <v>1567.2580114285713</v>
      </c>
      <c r="V44" s="13"/>
      <c r="W44" s="17">
        <f t="shared" ref="W44:W62" si="12">S44+U44</f>
        <v>41753.360868571428</v>
      </c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</row>
    <row r="45" spans="1:42" ht="15" customHeight="1">
      <c r="A45" s="4"/>
      <c r="B45" s="15" t="s">
        <v>37</v>
      </c>
      <c r="C45" s="17">
        <v>2400</v>
      </c>
      <c r="D45" s="17">
        <f t="shared" si="2"/>
        <v>1680</v>
      </c>
      <c r="E45" s="35">
        <f t="shared" si="3"/>
        <v>25485.714285714286</v>
      </c>
      <c r="F45" s="35"/>
      <c r="G45" s="17">
        <v>0</v>
      </c>
      <c r="H45" s="35">
        <f t="shared" si="4"/>
        <v>25485.714285714286</v>
      </c>
      <c r="I45" s="29"/>
      <c r="J45" s="35">
        <f t="shared" si="5"/>
        <v>2400</v>
      </c>
      <c r="K45" s="35"/>
      <c r="L45" s="35"/>
      <c r="M45" s="17">
        <f t="shared" si="6"/>
        <v>27885.714285714286</v>
      </c>
      <c r="N45" s="13"/>
      <c r="O45" s="17">
        <f t="shared" si="7"/>
        <v>19520</v>
      </c>
      <c r="P45" s="13"/>
      <c r="Q45" s="17">
        <f t="shared" si="8"/>
        <v>10373.485714285714</v>
      </c>
      <c r="R45" s="17">
        <f t="shared" si="9"/>
        <v>1926.9028571428571</v>
      </c>
      <c r="S45" s="17">
        <f t="shared" si="10"/>
        <v>40186.102857142854</v>
      </c>
      <c r="T45" s="13"/>
      <c r="U45" s="17">
        <f t="shared" si="11"/>
        <v>1567.2580114285713</v>
      </c>
      <c r="V45" s="13"/>
      <c r="W45" s="17">
        <f t="shared" si="12"/>
        <v>41753.360868571428</v>
      </c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</row>
    <row r="46" spans="1:42" ht="15" customHeight="1">
      <c r="A46" s="4"/>
      <c r="B46" s="15" t="s">
        <v>38</v>
      </c>
      <c r="C46" s="17">
        <v>2400</v>
      </c>
      <c r="D46" s="17">
        <f t="shared" si="2"/>
        <v>1680</v>
      </c>
      <c r="E46" s="35">
        <f t="shared" si="3"/>
        <v>25485.714285714286</v>
      </c>
      <c r="F46" s="35"/>
      <c r="G46" s="17">
        <v>0</v>
      </c>
      <c r="H46" s="35">
        <f t="shared" si="4"/>
        <v>25485.714285714286</v>
      </c>
      <c r="I46" s="29"/>
      <c r="J46" s="35">
        <f t="shared" si="5"/>
        <v>2400</v>
      </c>
      <c r="K46" s="35"/>
      <c r="L46" s="35"/>
      <c r="M46" s="17">
        <f t="shared" si="6"/>
        <v>27885.714285714286</v>
      </c>
      <c r="N46" s="13"/>
      <c r="O46" s="17">
        <f t="shared" si="7"/>
        <v>19520</v>
      </c>
      <c r="P46" s="13"/>
      <c r="Q46" s="17">
        <f t="shared" si="8"/>
        <v>10373.485714285714</v>
      </c>
      <c r="R46" s="17">
        <f t="shared" si="9"/>
        <v>1926.9028571428571</v>
      </c>
      <c r="S46" s="17">
        <f t="shared" si="10"/>
        <v>40186.102857142854</v>
      </c>
      <c r="T46" s="13"/>
      <c r="U46" s="17">
        <f t="shared" si="11"/>
        <v>1567.2580114285713</v>
      </c>
      <c r="V46" s="13"/>
      <c r="W46" s="17">
        <f t="shared" si="12"/>
        <v>41753.360868571428</v>
      </c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</row>
    <row r="47" spans="1:42" ht="15" customHeight="1">
      <c r="A47" s="4"/>
      <c r="B47" s="15" t="s">
        <v>39</v>
      </c>
      <c r="C47" s="17">
        <v>2000</v>
      </c>
      <c r="D47" s="17">
        <f t="shared" si="2"/>
        <v>1400</v>
      </c>
      <c r="E47" s="35">
        <f t="shared" si="3"/>
        <v>21238.09523809524</v>
      </c>
      <c r="F47" s="35"/>
      <c r="G47" s="17">
        <v>0</v>
      </c>
      <c r="H47" s="35">
        <f t="shared" si="4"/>
        <v>21238.09523809524</v>
      </c>
      <c r="I47" s="29"/>
      <c r="J47" s="35">
        <f t="shared" si="5"/>
        <v>2000</v>
      </c>
      <c r="K47" s="35"/>
      <c r="L47" s="35"/>
      <c r="M47" s="17">
        <f t="shared" si="6"/>
        <v>23238.09523809524</v>
      </c>
      <c r="N47" s="13"/>
      <c r="O47" s="17">
        <f t="shared" si="7"/>
        <v>16266.666666666668</v>
      </c>
      <c r="P47" s="13"/>
      <c r="Q47" s="17">
        <f t="shared" si="8"/>
        <v>8644.5714285714294</v>
      </c>
      <c r="R47" s="17">
        <f t="shared" si="9"/>
        <v>1605.7523809523809</v>
      </c>
      <c r="S47" s="17">
        <f t="shared" si="10"/>
        <v>33488.419047619056</v>
      </c>
      <c r="T47" s="13"/>
      <c r="U47" s="17">
        <f t="shared" si="11"/>
        <v>1306.0483428571431</v>
      </c>
      <c r="V47" s="13"/>
      <c r="W47" s="17">
        <f t="shared" si="12"/>
        <v>34794.467390476202</v>
      </c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</row>
    <row r="48" spans="1:42" ht="15" customHeight="1">
      <c r="A48" s="4"/>
      <c r="B48" s="15" t="s">
        <v>40</v>
      </c>
      <c r="C48" s="17">
        <v>2000</v>
      </c>
      <c r="D48" s="17">
        <f t="shared" si="2"/>
        <v>1400</v>
      </c>
      <c r="E48" s="35">
        <f t="shared" si="3"/>
        <v>21238.09523809524</v>
      </c>
      <c r="F48" s="35"/>
      <c r="G48" s="17">
        <v>0</v>
      </c>
      <c r="H48" s="35">
        <f t="shared" si="4"/>
        <v>21238.09523809524</v>
      </c>
      <c r="I48" s="29"/>
      <c r="J48" s="35">
        <f t="shared" si="5"/>
        <v>2000</v>
      </c>
      <c r="K48" s="35"/>
      <c r="L48" s="35"/>
      <c r="M48" s="17">
        <f t="shared" si="6"/>
        <v>23238.09523809524</v>
      </c>
      <c r="N48" s="13"/>
      <c r="O48" s="17">
        <f t="shared" si="7"/>
        <v>16266.666666666668</v>
      </c>
      <c r="P48" s="13"/>
      <c r="Q48" s="17">
        <f t="shared" si="8"/>
        <v>8644.5714285714294</v>
      </c>
      <c r="R48" s="17">
        <f t="shared" si="9"/>
        <v>1605.7523809523809</v>
      </c>
      <c r="S48" s="17">
        <f t="shared" si="10"/>
        <v>33488.419047619056</v>
      </c>
      <c r="T48" s="13"/>
      <c r="U48" s="17">
        <f t="shared" si="11"/>
        <v>1306.0483428571431</v>
      </c>
      <c r="V48" s="13"/>
      <c r="W48" s="17">
        <f t="shared" si="12"/>
        <v>34794.467390476202</v>
      </c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</row>
    <row r="49" spans="1:42" ht="15" customHeight="1">
      <c r="A49" s="4"/>
      <c r="B49" s="14"/>
      <c r="C49" s="20"/>
      <c r="D49" s="20"/>
      <c r="E49" s="41"/>
      <c r="F49" s="41"/>
      <c r="G49" s="20"/>
      <c r="H49" s="41"/>
      <c r="I49" s="28"/>
      <c r="J49" s="41"/>
      <c r="K49" s="41"/>
      <c r="L49" s="41"/>
      <c r="M49" s="20"/>
      <c r="N49" s="13"/>
      <c r="O49" s="20"/>
      <c r="P49" s="13"/>
      <c r="Q49" s="20"/>
      <c r="R49" s="20"/>
      <c r="S49" s="20"/>
      <c r="T49" s="13"/>
      <c r="U49" s="20"/>
      <c r="V49" s="13"/>
      <c r="W49" s="20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</row>
    <row r="50" spans="1:42" ht="15" customHeight="1">
      <c r="A50" s="4"/>
      <c r="B50" s="15" t="s">
        <v>10</v>
      </c>
      <c r="C50" s="17">
        <v>1800</v>
      </c>
      <c r="D50" s="17">
        <f t="shared" si="2"/>
        <v>1260</v>
      </c>
      <c r="E50" s="35">
        <f t="shared" si="3"/>
        <v>19114.285714285714</v>
      </c>
      <c r="F50" s="35"/>
      <c r="G50" s="17">
        <v>0</v>
      </c>
      <c r="H50" s="35">
        <f t="shared" si="4"/>
        <v>19114.285714285714</v>
      </c>
      <c r="I50" s="29"/>
      <c r="J50" s="35">
        <f t="shared" si="5"/>
        <v>1800</v>
      </c>
      <c r="K50" s="35"/>
      <c r="L50" s="35"/>
      <c r="M50" s="17">
        <f t="shared" si="6"/>
        <v>20914.285714285714</v>
      </c>
      <c r="N50" s="13"/>
      <c r="O50" s="17">
        <f t="shared" si="7"/>
        <v>14640</v>
      </c>
      <c r="P50" s="13"/>
      <c r="Q50" s="17">
        <f t="shared" si="8"/>
        <v>7780.1142857142859</v>
      </c>
      <c r="R50" s="17">
        <f t="shared" si="9"/>
        <v>1445.1771428571426</v>
      </c>
      <c r="S50" s="17">
        <f t="shared" si="10"/>
        <v>30139.577142857142</v>
      </c>
      <c r="T50" s="13"/>
      <c r="U50" s="17">
        <f t="shared" si="11"/>
        <v>1175.4435085714285</v>
      </c>
      <c r="V50" s="13"/>
      <c r="W50" s="17">
        <f t="shared" si="12"/>
        <v>31315.020651428571</v>
      </c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</row>
    <row r="51" spans="1:42" ht="15" customHeight="1">
      <c r="A51" s="4"/>
      <c r="B51" s="15" t="s">
        <v>14</v>
      </c>
      <c r="C51" s="17">
        <v>1800</v>
      </c>
      <c r="D51" s="17">
        <f t="shared" si="2"/>
        <v>1260</v>
      </c>
      <c r="E51" s="35">
        <f t="shared" si="3"/>
        <v>19114.285714285714</v>
      </c>
      <c r="F51" s="35"/>
      <c r="G51" s="17">
        <v>0</v>
      </c>
      <c r="H51" s="35">
        <f t="shared" si="4"/>
        <v>19114.285714285714</v>
      </c>
      <c r="I51" s="29"/>
      <c r="J51" s="35">
        <f t="shared" si="5"/>
        <v>1800</v>
      </c>
      <c r="K51" s="35"/>
      <c r="L51" s="35"/>
      <c r="M51" s="17">
        <f t="shared" si="6"/>
        <v>20914.285714285714</v>
      </c>
      <c r="N51" s="13"/>
      <c r="O51" s="17">
        <f t="shared" si="7"/>
        <v>14640</v>
      </c>
      <c r="P51" s="13"/>
      <c r="Q51" s="17">
        <f t="shared" si="8"/>
        <v>7780.1142857142859</v>
      </c>
      <c r="R51" s="17">
        <f t="shared" si="9"/>
        <v>1445.1771428571426</v>
      </c>
      <c r="S51" s="17">
        <f t="shared" si="10"/>
        <v>30139.577142857142</v>
      </c>
      <c r="T51" s="13"/>
      <c r="U51" s="17">
        <f t="shared" si="11"/>
        <v>1175.4435085714285</v>
      </c>
      <c r="V51" s="13"/>
      <c r="W51" s="17">
        <f t="shared" si="12"/>
        <v>31315.020651428571</v>
      </c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</row>
    <row r="52" spans="1:42" ht="15" customHeight="1">
      <c r="A52" s="4"/>
      <c r="B52" s="15" t="s">
        <v>16</v>
      </c>
      <c r="C52" s="17">
        <v>1800</v>
      </c>
      <c r="D52" s="17">
        <f t="shared" si="2"/>
        <v>1260</v>
      </c>
      <c r="E52" s="35">
        <f t="shared" si="3"/>
        <v>19114.285714285714</v>
      </c>
      <c r="F52" s="35"/>
      <c r="G52" s="17">
        <v>0</v>
      </c>
      <c r="H52" s="35">
        <f t="shared" si="4"/>
        <v>19114.285714285714</v>
      </c>
      <c r="I52" s="29"/>
      <c r="J52" s="35">
        <f t="shared" si="5"/>
        <v>1800</v>
      </c>
      <c r="K52" s="35"/>
      <c r="L52" s="35"/>
      <c r="M52" s="17">
        <f t="shared" si="6"/>
        <v>20914.285714285714</v>
      </c>
      <c r="N52" s="13"/>
      <c r="O52" s="17">
        <f t="shared" si="7"/>
        <v>14640</v>
      </c>
      <c r="P52" s="13"/>
      <c r="Q52" s="17">
        <f t="shared" si="8"/>
        <v>7780.1142857142859</v>
      </c>
      <c r="R52" s="17">
        <f t="shared" si="9"/>
        <v>1445.1771428571426</v>
      </c>
      <c r="S52" s="17">
        <f t="shared" si="10"/>
        <v>30139.577142857142</v>
      </c>
      <c r="T52" s="13"/>
      <c r="U52" s="17">
        <f t="shared" si="11"/>
        <v>1175.4435085714285</v>
      </c>
      <c r="V52" s="13"/>
      <c r="W52" s="17">
        <f t="shared" si="12"/>
        <v>31315.020651428571</v>
      </c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</row>
    <row r="53" spans="1:42" ht="15" customHeight="1">
      <c r="A53" s="4"/>
      <c r="B53" s="14"/>
      <c r="C53" s="20"/>
      <c r="D53" s="20"/>
      <c r="E53" s="41"/>
      <c r="F53" s="41"/>
      <c r="G53" s="20"/>
      <c r="H53" s="41"/>
      <c r="I53" s="28"/>
      <c r="J53" s="41"/>
      <c r="K53" s="41"/>
      <c r="L53" s="41"/>
      <c r="M53" s="20"/>
      <c r="N53" s="13"/>
      <c r="O53" s="20"/>
      <c r="P53" s="13"/>
      <c r="Q53" s="20"/>
      <c r="R53" s="20"/>
      <c r="S53" s="20"/>
      <c r="T53" s="13"/>
      <c r="U53" s="20"/>
      <c r="V53" s="13"/>
      <c r="W53" s="20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</row>
    <row r="54" spans="1:42" ht="15" customHeight="1">
      <c r="A54" s="4"/>
      <c r="B54" s="15" t="s">
        <v>18</v>
      </c>
      <c r="C54" s="17">
        <v>1800</v>
      </c>
      <c r="D54" s="17">
        <f t="shared" si="2"/>
        <v>1260</v>
      </c>
      <c r="E54" s="35">
        <f t="shared" si="3"/>
        <v>19114.285714285714</v>
      </c>
      <c r="F54" s="35"/>
      <c r="G54" s="17">
        <v>0</v>
      </c>
      <c r="H54" s="35">
        <f t="shared" si="4"/>
        <v>19114.285714285714</v>
      </c>
      <c r="I54" s="29"/>
      <c r="J54" s="35">
        <f t="shared" si="5"/>
        <v>1800</v>
      </c>
      <c r="K54" s="35"/>
      <c r="L54" s="35"/>
      <c r="M54" s="17">
        <f t="shared" si="6"/>
        <v>20914.285714285714</v>
      </c>
      <c r="N54" s="13"/>
      <c r="O54" s="17">
        <f t="shared" si="7"/>
        <v>14640</v>
      </c>
      <c r="P54" s="13"/>
      <c r="Q54" s="17">
        <f t="shared" si="8"/>
        <v>7780.1142857142859</v>
      </c>
      <c r="R54" s="17">
        <f t="shared" si="9"/>
        <v>1445.1771428571426</v>
      </c>
      <c r="S54" s="17">
        <f t="shared" si="10"/>
        <v>30139.577142857142</v>
      </c>
      <c r="T54" s="13"/>
      <c r="U54" s="17">
        <f t="shared" si="11"/>
        <v>1175.4435085714285</v>
      </c>
      <c r="V54" s="13"/>
      <c r="W54" s="17">
        <f t="shared" si="12"/>
        <v>31315.020651428571</v>
      </c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</row>
    <row r="55" spans="1:42" ht="15" customHeight="1">
      <c r="A55" s="4"/>
      <c r="B55" s="14"/>
      <c r="C55" s="20"/>
      <c r="D55" s="20"/>
      <c r="E55" s="41"/>
      <c r="F55" s="41"/>
      <c r="G55" s="20"/>
      <c r="H55" s="41"/>
      <c r="I55" s="28"/>
      <c r="J55" s="41"/>
      <c r="K55" s="41"/>
      <c r="L55" s="41"/>
      <c r="M55" s="20"/>
      <c r="N55" s="13"/>
      <c r="O55" s="20"/>
      <c r="P55" s="13"/>
      <c r="Q55" s="20"/>
      <c r="R55" s="20"/>
      <c r="S55" s="20"/>
      <c r="T55" s="13"/>
      <c r="U55" s="20"/>
      <c r="V55" s="13"/>
      <c r="W55" s="20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</row>
    <row r="56" spans="1:42" ht="15" customHeight="1">
      <c r="A56" s="4"/>
      <c r="B56" s="15" t="s">
        <v>20</v>
      </c>
      <c r="C56" s="17">
        <v>1800</v>
      </c>
      <c r="D56" s="17">
        <f t="shared" si="2"/>
        <v>1260</v>
      </c>
      <c r="E56" s="35">
        <f t="shared" si="3"/>
        <v>19114.285714285714</v>
      </c>
      <c r="F56" s="35"/>
      <c r="G56" s="17">
        <v>0</v>
      </c>
      <c r="H56" s="35">
        <f t="shared" si="4"/>
        <v>19114.285714285714</v>
      </c>
      <c r="I56" s="29"/>
      <c r="J56" s="35">
        <f t="shared" si="5"/>
        <v>1800</v>
      </c>
      <c r="K56" s="35"/>
      <c r="L56" s="35"/>
      <c r="M56" s="17">
        <f t="shared" si="6"/>
        <v>20914.285714285714</v>
      </c>
      <c r="N56" s="13"/>
      <c r="O56" s="17">
        <f t="shared" si="7"/>
        <v>14640</v>
      </c>
      <c r="P56" s="13"/>
      <c r="Q56" s="17">
        <f t="shared" si="8"/>
        <v>7780.1142857142859</v>
      </c>
      <c r="R56" s="17">
        <f t="shared" si="9"/>
        <v>1445.1771428571426</v>
      </c>
      <c r="S56" s="17">
        <f t="shared" si="10"/>
        <v>30139.577142857142</v>
      </c>
      <c r="T56" s="13"/>
      <c r="U56" s="17">
        <f t="shared" si="11"/>
        <v>1175.4435085714285</v>
      </c>
      <c r="V56" s="13"/>
      <c r="W56" s="17">
        <f t="shared" si="12"/>
        <v>31315.020651428571</v>
      </c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</row>
    <row r="57" spans="1:42" ht="15" customHeight="1">
      <c r="A57" s="4"/>
      <c r="B57" s="14"/>
      <c r="C57" s="20"/>
      <c r="D57" s="20"/>
      <c r="E57" s="41"/>
      <c r="F57" s="41"/>
      <c r="G57" s="20"/>
      <c r="H57" s="41"/>
      <c r="I57" s="28"/>
      <c r="J57" s="41"/>
      <c r="K57" s="41"/>
      <c r="L57" s="41"/>
      <c r="M57" s="20"/>
      <c r="N57" s="13"/>
      <c r="O57" s="20"/>
      <c r="P57" s="13"/>
      <c r="Q57" s="20"/>
      <c r="R57" s="20"/>
      <c r="S57" s="20"/>
      <c r="T57" s="13"/>
      <c r="U57" s="20"/>
      <c r="V57" s="13"/>
      <c r="W57" s="20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</row>
    <row r="58" spans="1:42" ht="15" customHeight="1">
      <c r="A58" s="4"/>
      <c r="B58" s="15" t="s">
        <v>23</v>
      </c>
      <c r="C58" s="17">
        <v>1400</v>
      </c>
      <c r="D58" s="17">
        <f t="shared" si="2"/>
        <v>980</v>
      </c>
      <c r="E58" s="35">
        <f t="shared" si="3"/>
        <v>14866.666666666668</v>
      </c>
      <c r="F58" s="35"/>
      <c r="G58" s="17">
        <v>0</v>
      </c>
      <c r="H58" s="35">
        <f t="shared" si="4"/>
        <v>14866.666666666668</v>
      </c>
      <c r="I58" s="29"/>
      <c r="J58" s="35">
        <f t="shared" si="5"/>
        <v>1400</v>
      </c>
      <c r="K58" s="35"/>
      <c r="L58" s="35"/>
      <c r="M58" s="17">
        <f t="shared" si="6"/>
        <v>16266.666666666668</v>
      </c>
      <c r="N58" s="13"/>
      <c r="O58" s="17">
        <f t="shared" si="7"/>
        <v>11386.666666666668</v>
      </c>
      <c r="P58" s="13"/>
      <c r="Q58" s="17">
        <f t="shared" si="8"/>
        <v>6051.2000000000007</v>
      </c>
      <c r="R58" s="17">
        <f t="shared" si="9"/>
        <v>1124.0266666666666</v>
      </c>
      <c r="S58" s="17">
        <f t="shared" si="10"/>
        <v>23441.893333333333</v>
      </c>
      <c r="T58" s="13"/>
      <c r="U58" s="17">
        <f t="shared" si="11"/>
        <v>914.23383999999999</v>
      </c>
      <c r="V58" s="13"/>
      <c r="W58" s="17">
        <f t="shared" si="12"/>
        <v>24356.127173333334</v>
      </c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</row>
    <row r="59" spans="1:42" ht="15" customHeight="1">
      <c r="A59" s="4"/>
      <c r="B59" s="15" t="s">
        <v>26</v>
      </c>
      <c r="C59" s="17">
        <v>1400</v>
      </c>
      <c r="D59" s="17">
        <f t="shared" si="2"/>
        <v>980</v>
      </c>
      <c r="E59" s="35">
        <f t="shared" si="3"/>
        <v>14866.666666666668</v>
      </c>
      <c r="F59" s="35"/>
      <c r="G59" s="17">
        <v>0</v>
      </c>
      <c r="H59" s="35">
        <f t="shared" si="4"/>
        <v>14866.666666666668</v>
      </c>
      <c r="I59" s="29"/>
      <c r="J59" s="35">
        <f t="shared" si="5"/>
        <v>1400</v>
      </c>
      <c r="K59" s="35"/>
      <c r="L59" s="35"/>
      <c r="M59" s="17">
        <f t="shared" si="6"/>
        <v>16266.666666666668</v>
      </c>
      <c r="N59" s="13"/>
      <c r="O59" s="17">
        <f t="shared" si="7"/>
        <v>11386.666666666668</v>
      </c>
      <c r="P59" s="13"/>
      <c r="Q59" s="17">
        <f t="shared" si="8"/>
        <v>6051.2000000000007</v>
      </c>
      <c r="R59" s="17">
        <f t="shared" si="9"/>
        <v>1124.0266666666666</v>
      </c>
      <c r="S59" s="17">
        <f t="shared" si="10"/>
        <v>23441.893333333333</v>
      </c>
      <c r="T59" s="13"/>
      <c r="U59" s="17">
        <f t="shared" si="11"/>
        <v>914.23383999999999</v>
      </c>
      <c r="V59" s="13"/>
      <c r="W59" s="17">
        <f t="shared" si="12"/>
        <v>24356.127173333334</v>
      </c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</row>
    <row r="60" spans="1:42" ht="15" customHeight="1">
      <c r="A60" s="4"/>
      <c r="B60" s="14"/>
      <c r="C60" s="20"/>
      <c r="D60" s="58"/>
      <c r="E60" s="59"/>
      <c r="F60" s="59"/>
      <c r="G60" s="20"/>
      <c r="H60" s="59"/>
      <c r="I60" s="60"/>
      <c r="J60" s="59"/>
      <c r="K60" s="59"/>
      <c r="L60" s="59"/>
      <c r="M60" s="61"/>
      <c r="N60" s="13"/>
      <c r="O60" s="20"/>
      <c r="P60" s="13"/>
      <c r="Q60" s="20"/>
      <c r="R60" s="20"/>
      <c r="S60" s="20"/>
      <c r="T60" s="13"/>
      <c r="U60" s="20"/>
      <c r="V60" s="13"/>
      <c r="W60" s="20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</row>
    <row r="61" spans="1:42" ht="15" customHeight="1">
      <c r="A61" s="4"/>
      <c r="B61" s="15" t="s">
        <v>28</v>
      </c>
      <c r="C61" s="17">
        <v>1400</v>
      </c>
      <c r="D61" s="17">
        <f t="shared" si="2"/>
        <v>980</v>
      </c>
      <c r="E61" s="35">
        <f t="shared" si="3"/>
        <v>14866.666666666668</v>
      </c>
      <c r="F61" s="35"/>
      <c r="G61" s="17">
        <v>0</v>
      </c>
      <c r="H61" s="35">
        <f t="shared" si="4"/>
        <v>14866.666666666668</v>
      </c>
      <c r="I61" s="29"/>
      <c r="J61" s="35">
        <f t="shared" si="5"/>
        <v>1400</v>
      </c>
      <c r="K61" s="35"/>
      <c r="L61" s="35"/>
      <c r="M61" s="17">
        <f t="shared" si="6"/>
        <v>16266.666666666668</v>
      </c>
      <c r="N61" s="13"/>
      <c r="O61" s="17">
        <f t="shared" si="7"/>
        <v>11386.666666666668</v>
      </c>
      <c r="P61" s="13"/>
      <c r="Q61" s="24">
        <f t="shared" si="8"/>
        <v>6051.2000000000007</v>
      </c>
      <c r="R61" s="24">
        <f t="shared" si="9"/>
        <v>1124.0266666666666</v>
      </c>
      <c r="S61" s="24">
        <f t="shared" si="10"/>
        <v>23441.893333333333</v>
      </c>
      <c r="T61" s="13"/>
      <c r="U61" s="17">
        <f t="shared" si="11"/>
        <v>914.23383999999999</v>
      </c>
      <c r="V61" s="13"/>
      <c r="W61" s="17">
        <f t="shared" si="12"/>
        <v>24356.127173333334</v>
      </c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</row>
    <row r="62" spans="1:42" ht="15" customHeight="1">
      <c r="A62" s="4"/>
      <c r="B62" s="15" t="s">
        <v>30</v>
      </c>
      <c r="C62" s="17">
        <v>1400</v>
      </c>
      <c r="D62" s="17">
        <f t="shared" si="2"/>
        <v>980</v>
      </c>
      <c r="E62" s="35">
        <f>1784*(C62/(21*8))</f>
        <v>14866.666666666668</v>
      </c>
      <c r="F62" s="35"/>
      <c r="G62" s="17">
        <v>0</v>
      </c>
      <c r="H62" s="35">
        <f t="shared" si="4"/>
        <v>14866.666666666668</v>
      </c>
      <c r="I62" s="29"/>
      <c r="J62" s="35">
        <f t="shared" si="5"/>
        <v>1400</v>
      </c>
      <c r="K62" s="35"/>
      <c r="L62" s="35"/>
      <c r="M62" s="17">
        <f t="shared" si="6"/>
        <v>16266.666666666668</v>
      </c>
      <c r="N62" s="13"/>
      <c r="O62" s="17">
        <f t="shared" si="7"/>
        <v>11386.666666666668</v>
      </c>
      <c r="P62" s="13"/>
      <c r="Q62" s="62">
        <f t="shared" si="8"/>
        <v>6051.2000000000007</v>
      </c>
      <c r="R62" s="62">
        <f t="shared" si="9"/>
        <v>1124.0266666666666</v>
      </c>
      <c r="S62" s="62">
        <f t="shared" si="10"/>
        <v>23441.893333333333</v>
      </c>
      <c r="T62" s="13"/>
      <c r="U62" s="17">
        <f t="shared" si="11"/>
        <v>914.23383999999999</v>
      </c>
      <c r="V62" s="13"/>
      <c r="W62" s="17">
        <f t="shared" si="12"/>
        <v>24356.127173333334</v>
      </c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</row>
    <row r="63" spans="1:42" ht="24.95" customHeight="1">
      <c r="A63" s="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5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</row>
    <row r="64" spans="1:42" ht="15" customHeight="1">
      <c r="A64" s="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</row>
    <row r="65" spans="1:42" ht="15" customHeight="1">
      <c r="A65" s="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</row>
    <row r="66" spans="1:42" ht="15" customHeight="1">
      <c r="A66" s="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</row>
    <row r="67" spans="1:42" ht="15" customHeight="1">
      <c r="A67" s="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1:42" ht="15" customHeight="1">
      <c r="A68" s="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</row>
    <row r="69" spans="1:42" ht="15" customHeight="1">
      <c r="A69" s="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</row>
    <row r="70" spans="1:42" ht="15" customHeight="1">
      <c r="A70" s="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</row>
    <row r="71" spans="1:42" ht="15" customHeight="1">
      <c r="A71" s="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1:42" ht="15" customHeight="1">
      <c r="A72" s="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1:42" ht="15" customHeight="1">
      <c r="A73" s="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1:42" ht="15" customHeight="1">
      <c r="A74" s="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1:42" ht="15" customHeight="1">
      <c r="A75" s="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1:42" ht="15" customHeight="1">
      <c r="A76" s="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1:42" ht="15" customHeight="1">
      <c r="A77" s="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1:42" ht="15" customHeight="1">
      <c r="A78" s="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1:42" ht="15" customHeight="1"/>
    <row r="80" spans="1:42" ht="15" customHeight="1"/>
  </sheetData>
  <mergeCells count="139">
    <mergeCell ref="B9:W10"/>
    <mergeCell ref="B2:C7"/>
    <mergeCell ref="B29:G29"/>
    <mergeCell ref="J38:K38"/>
    <mergeCell ref="J39:K39"/>
    <mergeCell ref="J40:K40"/>
    <mergeCell ref="J33:K33"/>
    <mergeCell ref="J34:K34"/>
    <mergeCell ref="J35:K35"/>
    <mergeCell ref="J36:K36"/>
    <mergeCell ref="J37:K37"/>
    <mergeCell ref="J25:K25"/>
    <mergeCell ref="J26:K26"/>
    <mergeCell ref="G25:H25"/>
    <mergeCell ref="G26:H26"/>
    <mergeCell ref="E26:F26"/>
    <mergeCell ref="G17:H17"/>
    <mergeCell ref="G21:H21"/>
    <mergeCell ref="G22:H22"/>
    <mergeCell ref="G23:H23"/>
    <mergeCell ref="G13:H13"/>
    <mergeCell ref="G14:H14"/>
    <mergeCell ref="G15:H15"/>
    <mergeCell ref="B27:H27"/>
    <mergeCell ref="E61:F61"/>
    <mergeCell ref="H61:I61"/>
    <mergeCell ref="J61:L61"/>
    <mergeCell ref="E62:F62"/>
    <mergeCell ref="H62:I62"/>
    <mergeCell ref="J62:L62"/>
    <mergeCell ref="J50:L50"/>
    <mergeCell ref="J51:L51"/>
    <mergeCell ref="J52:L52"/>
    <mergeCell ref="J53:L53"/>
    <mergeCell ref="J54:L54"/>
    <mergeCell ref="H54:I54"/>
    <mergeCell ref="J56:L56"/>
    <mergeCell ref="J57:L57"/>
    <mergeCell ref="J58:L58"/>
    <mergeCell ref="J59:L59"/>
    <mergeCell ref="J60:L60"/>
    <mergeCell ref="H55:I55"/>
    <mergeCell ref="H56:I56"/>
    <mergeCell ref="H57:I57"/>
    <mergeCell ref="H58:I58"/>
    <mergeCell ref="J55:L55"/>
    <mergeCell ref="E57:F57"/>
    <mergeCell ref="E58:F58"/>
    <mergeCell ref="J45:L45"/>
    <mergeCell ref="J46:L46"/>
    <mergeCell ref="J47:L47"/>
    <mergeCell ref="J48:L48"/>
    <mergeCell ref="J49:L49"/>
    <mergeCell ref="H50:I50"/>
    <mergeCell ref="H51:I51"/>
    <mergeCell ref="H52:I52"/>
    <mergeCell ref="H53:I53"/>
    <mergeCell ref="H45:I45"/>
    <mergeCell ref="H46:I46"/>
    <mergeCell ref="H47:I47"/>
    <mergeCell ref="H48:I48"/>
    <mergeCell ref="H49:I49"/>
    <mergeCell ref="J42:L42"/>
    <mergeCell ref="H42:I42"/>
    <mergeCell ref="F40:G40"/>
    <mergeCell ref="F33:G33"/>
    <mergeCell ref="J28:K28"/>
    <mergeCell ref="J29:K29"/>
    <mergeCell ref="J30:K30"/>
    <mergeCell ref="J31:K31"/>
    <mergeCell ref="J32:K32"/>
    <mergeCell ref="F35:G35"/>
    <mergeCell ref="F36:G36"/>
    <mergeCell ref="F30:G30"/>
    <mergeCell ref="F31:G31"/>
    <mergeCell ref="F32:G32"/>
    <mergeCell ref="B41:W41"/>
    <mergeCell ref="E59:F59"/>
    <mergeCell ref="E60:F60"/>
    <mergeCell ref="H59:I59"/>
    <mergeCell ref="H60:I60"/>
    <mergeCell ref="E55:F55"/>
    <mergeCell ref="E56:F56"/>
    <mergeCell ref="E50:F50"/>
    <mergeCell ref="E51:F51"/>
    <mergeCell ref="E52:F52"/>
    <mergeCell ref="E53:F53"/>
    <mergeCell ref="E54:F54"/>
    <mergeCell ref="F34:G34"/>
    <mergeCell ref="F37:G37"/>
    <mergeCell ref="G28:H28"/>
    <mergeCell ref="E28:F28"/>
    <mergeCell ref="E45:F45"/>
    <mergeCell ref="E46:F46"/>
    <mergeCell ref="E47:F47"/>
    <mergeCell ref="E48:F48"/>
    <mergeCell ref="E49:F49"/>
    <mergeCell ref="E42:F42"/>
    <mergeCell ref="E43:F43"/>
    <mergeCell ref="E44:F44"/>
    <mergeCell ref="H43:I43"/>
    <mergeCell ref="H44:I44"/>
    <mergeCell ref="E13:F13"/>
    <mergeCell ref="E15:F15"/>
    <mergeCell ref="E16:F16"/>
    <mergeCell ref="E14:F14"/>
    <mergeCell ref="J43:L43"/>
    <mergeCell ref="J44:L44"/>
    <mergeCell ref="J13:K13"/>
    <mergeCell ref="J14:K14"/>
    <mergeCell ref="B12:K12"/>
    <mergeCell ref="J15:K15"/>
    <mergeCell ref="J16:K16"/>
    <mergeCell ref="J20:K20"/>
    <mergeCell ref="J18:K18"/>
    <mergeCell ref="J17:K17"/>
    <mergeCell ref="J19:K19"/>
    <mergeCell ref="J21:K21"/>
    <mergeCell ref="J22:K22"/>
    <mergeCell ref="J23:K23"/>
    <mergeCell ref="J24:K24"/>
    <mergeCell ref="J27:K27"/>
    <mergeCell ref="F39:G39"/>
    <mergeCell ref="F38:G38"/>
    <mergeCell ref="B39:D39"/>
    <mergeCell ref="G24:H24"/>
    <mergeCell ref="E24:F24"/>
    <mergeCell ref="E25:F25"/>
    <mergeCell ref="G19:H19"/>
    <mergeCell ref="G20:H20"/>
    <mergeCell ref="G16:H16"/>
    <mergeCell ref="G18:H18"/>
    <mergeCell ref="E17:F17"/>
    <mergeCell ref="E18:F18"/>
    <mergeCell ref="E19:F19"/>
    <mergeCell ref="E20:F20"/>
    <mergeCell ref="E21:F21"/>
    <mergeCell ref="E22:F22"/>
    <mergeCell ref="E23:F2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christiancultraro98@gmail.com</dc:creator>
  <cp:keywords/>
  <dc:description/>
  <cp:lastModifiedBy>STEFANO CARAMAGNO</cp:lastModifiedBy>
  <cp:revision/>
  <dcterms:created xsi:type="dcterms:W3CDTF">2024-01-11T16:34:32Z</dcterms:created>
  <dcterms:modified xsi:type="dcterms:W3CDTF">2024-01-15T21:57:17Z</dcterms:modified>
  <cp:category/>
  <cp:contentStatus/>
</cp:coreProperties>
</file>