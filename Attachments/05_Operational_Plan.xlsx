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Istruzione\Università di Catania (Laurea Triennale in Ingegneria Informatica)\3°Anno\- Startup d'Impresa e Modelli di Business (Prof. Loreto)\Progetto\Business Plan\"/>
    </mc:Choice>
  </mc:AlternateContent>
  <xr:revisionPtr revIDLastSave="0" documentId="13_ncr:1_{13A5F83F-E0E5-4BEE-8C5D-A06FBFDAFAD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IANO OPERATIV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1" l="1"/>
  <c r="O44" i="1"/>
  <c r="O43" i="1"/>
  <c r="O42" i="1"/>
  <c r="O41" i="1"/>
  <c r="O46" i="1" s="1"/>
  <c r="I46" i="1"/>
  <c r="O34" i="1"/>
</calcChain>
</file>

<file path=xl/sharedStrings.xml><?xml version="1.0" encoding="utf-8"?>
<sst xmlns="http://schemas.openxmlformats.org/spreadsheetml/2006/main" count="86" uniqueCount="71">
  <si>
    <t xml:space="preserve">    EQUAL OPPORTUNITIES</t>
  </si>
  <si>
    <t>PIANO OPERATIVO</t>
  </si>
  <si>
    <t>PIANO DELLA PRODUZIONE</t>
  </si>
  <si>
    <t xml:space="preserve">Periodo </t>
  </si>
  <si>
    <t>Attività di produzione</t>
  </si>
  <si>
    <t xml:space="preserve">Quantità prodotta </t>
  </si>
  <si>
    <t xml:space="preserve">Materiali necessari </t>
  </si>
  <si>
    <t>Fornitori</t>
  </si>
  <si>
    <t xml:space="preserve"> Aprile 2024</t>
  </si>
  <si>
    <t xml:space="preserve"> Setup della linea di produzione</t>
  </si>
  <si>
    <t xml:space="preserve"> PC,software,hardware</t>
  </si>
  <si>
    <t xml:space="preserve"> Giugno 2024</t>
  </si>
  <si>
    <t xml:space="preserve"> Ottimizzazione del processo di produzione</t>
  </si>
  <si>
    <t xml:space="preserve"> 10 unità </t>
  </si>
  <si>
    <t xml:space="preserve"> Software aquistato e autoprodotto</t>
  </si>
  <si>
    <t xml:space="preserve"> Settembre 2024</t>
  </si>
  <si>
    <t xml:space="preserve"> Produzione su larga scala</t>
  </si>
  <si>
    <t xml:space="preserve"> 140 unità </t>
  </si>
  <si>
    <t xml:space="preserve"> Dicembre 2024</t>
  </si>
  <si>
    <t xml:space="preserve"> Controllo qualità e correzioni </t>
  </si>
  <si>
    <t xml:space="preserve"> Manutenzioni e correzioni </t>
  </si>
  <si>
    <t xml:space="preserve"> Marzo 2025</t>
  </si>
  <si>
    <t xml:space="preserve"> Immissione sul mercato </t>
  </si>
  <si>
    <t xml:space="preserve"> 116 unità</t>
  </si>
  <si>
    <t>PIANO DEGLI INVESTIMENTI</t>
  </si>
  <si>
    <t xml:space="preserve">Categoria di investimenti </t>
  </si>
  <si>
    <t>Descrizione dell'investimento</t>
  </si>
  <si>
    <t>Importo (€)</t>
  </si>
  <si>
    <t xml:space="preserve">Fonti di finanziamento </t>
  </si>
  <si>
    <t xml:space="preserve"> Attrezzature e macchinari </t>
  </si>
  <si>
    <t xml:space="preserve"> PC,stampanti,scrivanie,sedie</t>
  </si>
  <si>
    <t xml:space="preserve"> Prestiti banche </t>
  </si>
  <si>
    <t xml:space="preserve"> Ricerca e sviluppo </t>
  </si>
  <si>
    <t xml:space="preserve"> Software e cloud</t>
  </si>
  <si>
    <t xml:space="preserve"> Risorse interne </t>
  </si>
  <si>
    <t xml:space="preserve"> Marketing e pubblicità </t>
  </si>
  <si>
    <t xml:space="preserve"> Siti inclusione, webinar scuole,influencer che si occupano di inclusione</t>
  </si>
  <si>
    <t xml:space="preserve"> Sviluppo del software</t>
  </si>
  <si>
    <t xml:space="preserve"> Sviluppo di nuove funzionalità software</t>
  </si>
  <si>
    <t xml:space="preserve"> Formazione del personale</t>
  </si>
  <si>
    <t xml:space="preserve"> Formazione permanente del personale </t>
  </si>
  <si>
    <t xml:space="preserve"> Investitori</t>
  </si>
  <si>
    <t xml:space="preserve">Sede operativa e infrastrutture </t>
  </si>
  <si>
    <t xml:space="preserve"> Affitto degli spazi operativi</t>
  </si>
  <si>
    <t xml:space="preserve"> Risorse tecnologiche e informatiche </t>
  </si>
  <si>
    <t xml:space="preserve"> Aggiornamento delle risorse IT e tecnologiche</t>
  </si>
  <si>
    <t xml:space="preserve"> Riserve di liquidità</t>
  </si>
  <si>
    <t xml:space="preserve"> Riserve finanziarie per le emergenze</t>
  </si>
  <si>
    <t xml:space="preserve"> Totale (€)</t>
  </si>
  <si>
    <t>PIANO DEGLI AMMORTAMENTI</t>
  </si>
  <si>
    <t>Categoria di bene</t>
  </si>
  <si>
    <t>Descrizione del bene</t>
  </si>
  <si>
    <t>Valore di aquisto (€)</t>
  </si>
  <si>
    <t>Durata utile</t>
  </si>
  <si>
    <t>Ammortamento annuo (€)</t>
  </si>
  <si>
    <t>Metodo di ammortamento</t>
  </si>
  <si>
    <t xml:space="preserve"> Linea di produzione</t>
  </si>
  <si>
    <t xml:space="preserve"> Lineare</t>
  </si>
  <si>
    <t xml:space="preserve"> Software</t>
  </si>
  <si>
    <t xml:space="preserve"> Software di gestione aziendale </t>
  </si>
  <si>
    <t xml:space="preserve"> Veicoli</t>
  </si>
  <si>
    <t xml:space="preserve"> Automobile di rappresentanza </t>
  </si>
  <si>
    <t xml:space="preserve"> Arredi e ufficio </t>
  </si>
  <si>
    <t xml:space="preserve"> Mobili e arredi </t>
  </si>
  <si>
    <t xml:space="preserve"> Strutture e infrastrutture</t>
  </si>
  <si>
    <t xml:space="preserve"> Ristrutturazione degli spazi operativi </t>
  </si>
  <si>
    <t xml:space="preserve">  Totale (€)</t>
  </si>
  <si>
    <t>N/A</t>
  </si>
  <si>
    <t xml:space="preserve"> N/A</t>
  </si>
  <si>
    <t>Manutenzioni e correzioni</t>
  </si>
  <si>
    <t xml:space="preserve"> Amazon/Microsoft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</si>
</sst>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[$€-2]\ #,##0.00"/>
  </numFmts>
  <fonts count="7" x14ac:knownFonts="1">
    <font>
      <sz val="11"/>
      <color theme="1"/>
      <name val="Calibri"/>
      <family val="2"/>
      <scheme val="minor"/>
    </font>
    <font>
      <b/>
      <sz val="15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6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8CBAD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5" fillId="0" borderId="0" xfId="0" applyFont="1"/>
    <xf numFmtId="0" fontId="5" fillId="4" borderId="8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left" vertical="center"/>
    </xf>
    <xf numFmtId="0" fontId="0" fillId="0" borderId="0" xfId="0"/>
    <xf numFmtId="0" fontId="6" fillId="4" borderId="8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165" fontId="6" fillId="4" borderId="8" xfId="0" applyNumberFormat="1" applyFont="1" applyFill="1" applyBorder="1" applyAlignment="1">
      <alignment horizontal="left" vertical="center"/>
    </xf>
    <xf numFmtId="0" fontId="6" fillId="4" borderId="8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left" vertical="center"/>
    </xf>
    <xf numFmtId="165" fontId="6" fillId="4" borderId="2" xfId="0" applyNumberFormat="1" applyFont="1" applyFill="1" applyBorder="1" applyAlignment="1">
      <alignment horizontal="left" vertical="center"/>
    </xf>
    <xf numFmtId="165" fontId="6" fillId="4" borderId="3" xfId="0" applyNumberFormat="1" applyFont="1" applyFill="1" applyBorder="1" applyAlignment="1">
      <alignment horizontal="left" vertical="center"/>
    </xf>
    <xf numFmtId="165" fontId="6" fillId="4" borderId="4" xfId="0" applyNumberFormat="1" applyFont="1" applyFill="1" applyBorder="1" applyAlignment="1">
      <alignment horizontal="left" vertical="center"/>
    </xf>
    <xf numFmtId="165" fontId="6" fillId="4" borderId="5" xfId="0" applyNumberFormat="1" applyFont="1" applyFill="1" applyBorder="1" applyAlignment="1">
      <alignment horizontal="left" vertical="center"/>
    </xf>
    <xf numFmtId="165" fontId="6" fillId="4" borderId="6" xfId="0" applyNumberFormat="1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left" vertical="center"/>
    </xf>
    <xf numFmtId="164" fontId="6" fillId="4" borderId="3" xfId="0" applyNumberFormat="1" applyFont="1" applyFill="1" applyBorder="1" applyAlignment="1">
      <alignment horizontal="left" vertical="center"/>
    </xf>
    <xf numFmtId="164" fontId="6" fillId="4" borderId="4" xfId="0" applyNumberFormat="1" applyFont="1" applyFill="1" applyBorder="1" applyAlignment="1">
      <alignment horizontal="left" vertical="center"/>
    </xf>
    <xf numFmtId="164" fontId="6" fillId="4" borderId="5" xfId="0" applyNumberFormat="1" applyFont="1" applyFill="1" applyBorder="1" applyAlignment="1">
      <alignment horizontal="left" vertical="center"/>
    </xf>
    <xf numFmtId="164" fontId="6" fillId="4" borderId="6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left" vertical="center"/>
    </xf>
    <xf numFmtId="164" fontId="5" fillId="4" borderId="3" xfId="0" applyNumberFormat="1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left" vertical="center"/>
    </xf>
    <xf numFmtId="164" fontId="5" fillId="4" borderId="5" xfId="0" applyNumberFormat="1" applyFont="1" applyFill="1" applyBorder="1" applyAlignment="1">
      <alignment horizontal="left" vertical="center"/>
    </xf>
    <xf numFmtId="164" fontId="5" fillId="4" borderId="6" xfId="0" applyNumberFormat="1" applyFont="1" applyFill="1" applyBorder="1" applyAlignment="1">
      <alignment horizontal="left" vertical="center"/>
    </xf>
    <xf numFmtId="164" fontId="6" fillId="4" borderId="11" xfId="0" applyNumberFormat="1" applyFont="1" applyFill="1" applyBorder="1" applyAlignment="1">
      <alignment horizontal="left" vertical="center"/>
    </xf>
    <xf numFmtId="164" fontId="6" fillId="4" borderId="7" xfId="0" applyNumberFormat="1" applyFont="1" applyFill="1" applyBorder="1" applyAlignment="1">
      <alignment horizontal="left" vertical="center"/>
    </xf>
    <xf numFmtId="164" fontId="6" fillId="4" borderId="12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Medium9"/>
  <colors>
    <mruColors>
      <color rgb="FFF8CBAD"/>
      <color rgb="FFE7E6E6"/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57150</xdr:rowOff>
    </xdr:from>
    <xdr:to>
      <xdr:col>2</xdr:col>
      <xdr:colOff>447675</xdr:colOff>
      <xdr:row>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18145-E817-48A9-A2E5-FBA1F8309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247650"/>
          <a:ext cx="89535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47"/>
  <sheetViews>
    <sheetView tabSelected="1" workbookViewId="0">
      <selection activeCell="AC33" sqref="AC33"/>
    </sheetView>
  </sheetViews>
  <sheetFormatPr defaultColWidth="8.85546875" defaultRowHeight="15" x14ac:dyDescent="0.25"/>
  <cols>
    <col min="17" max="17" width="8.85546875" customWidth="1"/>
  </cols>
  <sheetData>
    <row r="2" spans="2:21" x14ac:dyDescent="0.25">
      <c r="B2" s="10" t="s">
        <v>0</v>
      </c>
      <c r="C2" s="11"/>
      <c r="D2" s="11"/>
      <c r="E2" s="11"/>
      <c r="F2" s="11"/>
      <c r="G2" s="11"/>
      <c r="H2" s="11"/>
      <c r="I2" s="12"/>
    </row>
    <row r="3" spans="2:21" x14ac:dyDescent="0.25">
      <c r="B3" s="13"/>
      <c r="C3" s="14"/>
      <c r="D3" s="14"/>
      <c r="E3" s="14"/>
      <c r="F3" s="14"/>
      <c r="G3" s="14"/>
      <c r="H3" s="14"/>
      <c r="I3" s="15"/>
    </row>
    <row r="4" spans="2:21" x14ac:dyDescent="0.25">
      <c r="B4" s="13"/>
      <c r="C4" s="14"/>
      <c r="D4" s="14"/>
      <c r="E4" s="14"/>
      <c r="F4" s="14"/>
      <c r="G4" s="14"/>
      <c r="H4" s="14"/>
      <c r="I4" s="15"/>
    </row>
    <row r="5" spans="2:21" x14ac:dyDescent="0.25">
      <c r="B5" s="13"/>
      <c r="C5" s="14"/>
      <c r="D5" s="14"/>
      <c r="E5" s="14"/>
      <c r="F5" s="14"/>
      <c r="G5" s="14"/>
      <c r="H5" s="14"/>
      <c r="I5" s="15"/>
    </row>
    <row r="6" spans="2:21" x14ac:dyDescent="0.25">
      <c r="B6" s="13"/>
      <c r="C6" s="14"/>
      <c r="D6" s="14"/>
      <c r="E6" s="14"/>
      <c r="F6" s="14"/>
      <c r="G6" s="14"/>
      <c r="H6" s="14"/>
      <c r="I6" s="15"/>
    </row>
    <row r="7" spans="2:21" x14ac:dyDescent="0.25">
      <c r="B7" s="16"/>
      <c r="C7" s="17"/>
      <c r="D7" s="17"/>
      <c r="E7" s="17"/>
      <c r="F7" s="17"/>
      <c r="G7" s="17"/>
      <c r="H7" s="17"/>
      <c r="I7" s="18"/>
    </row>
    <row r="9" spans="2:21" ht="15" customHeight="1" x14ac:dyDescent="0.25">
      <c r="B9" s="19" t="s">
        <v>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1"/>
    </row>
    <row r="10" spans="2:21" ht="15" customHeight="1" x14ac:dyDescent="0.25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4"/>
    </row>
    <row r="12" spans="2:21" x14ac:dyDescent="0.25">
      <c r="B12" s="25" t="s">
        <v>2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7"/>
    </row>
    <row r="13" spans="2:21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30"/>
    </row>
    <row r="14" spans="2:21" x14ac:dyDescent="0.25">
      <c r="B14" s="8" t="s">
        <v>3</v>
      </c>
      <c r="C14" s="8"/>
      <c r="D14" s="8" t="s">
        <v>4</v>
      </c>
      <c r="E14" s="8"/>
      <c r="F14" s="8"/>
      <c r="G14" s="8"/>
      <c r="H14" s="8"/>
      <c r="I14" s="8" t="s">
        <v>5</v>
      </c>
      <c r="J14" s="8"/>
      <c r="K14" s="8"/>
      <c r="L14" s="8"/>
      <c r="M14" s="8" t="s">
        <v>6</v>
      </c>
      <c r="N14" s="8"/>
      <c r="O14" s="8"/>
      <c r="P14" s="8"/>
      <c r="Q14" s="8"/>
      <c r="R14" s="8" t="s">
        <v>7</v>
      </c>
      <c r="S14" s="8"/>
      <c r="T14" s="8"/>
      <c r="U14" s="8"/>
    </row>
    <row r="15" spans="2:2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2:21" x14ac:dyDescent="0.25">
      <c r="B16" s="5" t="s">
        <v>8</v>
      </c>
      <c r="C16" s="6"/>
      <c r="D16" s="5" t="s">
        <v>9</v>
      </c>
      <c r="E16" s="34"/>
      <c r="F16" s="34"/>
      <c r="G16" s="34"/>
      <c r="H16" s="6"/>
      <c r="I16" s="2" t="s">
        <v>68</v>
      </c>
      <c r="J16" s="2"/>
      <c r="K16" s="2"/>
      <c r="L16" s="2"/>
      <c r="M16" s="2" t="s">
        <v>10</v>
      </c>
      <c r="N16" s="2"/>
      <c r="O16" s="2"/>
      <c r="P16" s="2"/>
      <c r="Q16" s="2"/>
      <c r="R16" s="2" t="s">
        <v>70</v>
      </c>
      <c r="S16" s="2"/>
      <c r="T16" s="2"/>
      <c r="U16" s="2"/>
    </row>
    <row r="17" spans="2:21" x14ac:dyDescent="0.25">
      <c r="B17" s="5" t="s">
        <v>11</v>
      </c>
      <c r="C17" s="6"/>
      <c r="D17" s="5" t="s">
        <v>12</v>
      </c>
      <c r="E17" s="34"/>
      <c r="F17" s="34"/>
      <c r="G17" s="34"/>
      <c r="H17" s="6"/>
      <c r="I17" s="2" t="s">
        <v>13</v>
      </c>
      <c r="J17" s="2"/>
      <c r="K17" s="2"/>
      <c r="L17" s="2"/>
      <c r="M17" s="2" t="s">
        <v>14</v>
      </c>
      <c r="N17" s="2"/>
      <c r="O17" s="2"/>
      <c r="P17" s="2"/>
      <c r="Q17" s="2"/>
      <c r="R17" s="2" t="s">
        <v>70</v>
      </c>
      <c r="S17" s="2"/>
      <c r="T17" s="2"/>
      <c r="U17" s="2"/>
    </row>
    <row r="18" spans="2:21" x14ac:dyDescent="0.25">
      <c r="B18" s="5" t="s">
        <v>15</v>
      </c>
      <c r="C18" s="6"/>
      <c r="D18" s="5" t="s">
        <v>16</v>
      </c>
      <c r="E18" s="34"/>
      <c r="F18" s="34"/>
      <c r="G18" s="34"/>
      <c r="H18" s="6"/>
      <c r="I18" s="2" t="s">
        <v>17</v>
      </c>
      <c r="J18" s="2"/>
      <c r="K18" s="2"/>
      <c r="L18" s="2"/>
      <c r="M18" s="2" t="s">
        <v>10</v>
      </c>
      <c r="N18" s="2"/>
      <c r="O18" s="2"/>
      <c r="P18" s="2"/>
      <c r="Q18" s="2"/>
      <c r="R18" s="2" t="s">
        <v>70</v>
      </c>
      <c r="S18" s="2"/>
      <c r="T18" s="2"/>
      <c r="U18" s="2"/>
    </row>
    <row r="19" spans="2:21" x14ac:dyDescent="0.25">
      <c r="B19" s="5" t="s">
        <v>18</v>
      </c>
      <c r="C19" s="6"/>
      <c r="D19" s="5" t="s">
        <v>19</v>
      </c>
      <c r="E19" s="34"/>
      <c r="F19" s="34"/>
      <c r="G19" s="34"/>
      <c r="H19" s="6"/>
      <c r="I19" s="2" t="s">
        <v>68</v>
      </c>
      <c r="J19" s="2"/>
      <c r="K19" s="2"/>
      <c r="L19" s="2"/>
      <c r="M19" s="2" t="s">
        <v>20</v>
      </c>
      <c r="N19" s="2"/>
      <c r="O19" s="2"/>
      <c r="P19" s="2"/>
      <c r="Q19" s="2"/>
      <c r="R19" s="2" t="s">
        <v>67</v>
      </c>
      <c r="S19" s="2"/>
      <c r="T19" s="2"/>
      <c r="U19" s="2"/>
    </row>
    <row r="20" spans="2:21" x14ac:dyDescent="0.25">
      <c r="B20" s="5" t="s">
        <v>21</v>
      </c>
      <c r="C20" s="6"/>
      <c r="D20" s="5" t="s">
        <v>22</v>
      </c>
      <c r="E20" s="34"/>
      <c r="F20" s="34"/>
      <c r="G20" s="34"/>
      <c r="H20" s="6"/>
      <c r="I20" s="2" t="s">
        <v>23</v>
      </c>
      <c r="J20" s="2"/>
      <c r="K20" s="2"/>
      <c r="L20" s="2"/>
      <c r="M20" s="2" t="s">
        <v>69</v>
      </c>
      <c r="N20" s="2"/>
      <c r="O20" s="2"/>
      <c r="P20" s="2"/>
      <c r="Q20" s="2"/>
      <c r="R20" s="2" t="s">
        <v>67</v>
      </c>
      <c r="S20" s="2"/>
      <c r="T20" s="2"/>
      <c r="U20" s="2"/>
    </row>
    <row r="22" spans="2:21" x14ac:dyDescent="0.25">
      <c r="B22" s="25" t="s">
        <v>24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7"/>
    </row>
    <row r="23" spans="2:21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30"/>
    </row>
    <row r="24" spans="2:21" x14ac:dyDescent="0.25">
      <c r="B24" s="8" t="s">
        <v>25</v>
      </c>
      <c r="C24" s="8"/>
      <c r="D24" s="8"/>
      <c r="E24" s="8"/>
      <c r="F24" s="8" t="s">
        <v>26</v>
      </c>
      <c r="G24" s="8"/>
      <c r="H24" s="8"/>
      <c r="I24" s="8"/>
      <c r="J24" s="8"/>
      <c r="K24" s="8"/>
      <c r="L24" s="8"/>
      <c r="M24" s="8"/>
      <c r="N24" s="8"/>
      <c r="O24" s="8" t="s">
        <v>27</v>
      </c>
      <c r="P24" s="8"/>
      <c r="Q24" s="8" t="s">
        <v>28</v>
      </c>
      <c r="R24" s="8"/>
      <c r="S24" s="8"/>
      <c r="T24" s="8"/>
      <c r="U24" s="8"/>
    </row>
    <row r="25" spans="2:21" x14ac:dyDescent="0.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2:21" x14ac:dyDescent="0.25">
      <c r="B26" s="7" t="s">
        <v>29</v>
      </c>
      <c r="C26" s="7"/>
      <c r="D26" s="7"/>
      <c r="E26" s="7"/>
      <c r="F26" s="2" t="s">
        <v>30</v>
      </c>
      <c r="G26" s="2"/>
      <c r="H26" s="2"/>
      <c r="I26" s="2"/>
      <c r="J26" s="2"/>
      <c r="K26" s="2"/>
      <c r="L26" s="2"/>
      <c r="M26" s="2"/>
      <c r="N26" s="2"/>
      <c r="O26" s="31">
        <v>15000</v>
      </c>
      <c r="P26" s="31"/>
      <c r="Q26" s="5" t="s">
        <v>31</v>
      </c>
      <c r="R26" s="34"/>
      <c r="S26" s="34"/>
      <c r="T26" s="34"/>
      <c r="U26" s="6"/>
    </row>
    <row r="27" spans="2:21" x14ac:dyDescent="0.25">
      <c r="B27" s="7" t="s">
        <v>32</v>
      </c>
      <c r="C27" s="7"/>
      <c r="D27" s="7"/>
      <c r="E27" s="7"/>
      <c r="F27" s="2" t="s">
        <v>33</v>
      </c>
      <c r="G27" s="2"/>
      <c r="H27" s="2"/>
      <c r="I27" s="2"/>
      <c r="J27" s="2"/>
      <c r="K27" s="2"/>
      <c r="L27" s="2"/>
      <c r="M27" s="2"/>
      <c r="N27" s="2"/>
      <c r="O27" s="31">
        <v>100</v>
      </c>
      <c r="P27" s="31"/>
      <c r="Q27" s="5" t="s">
        <v>34</v>
      </c>
      <c r="R27" s="34"/>
      <c r="S27" s="34"/>
      <c r="T27" s="34"/>
      <c r="U27" s="6"/>
    </row>
    <row r="28" spans="2:21" x14ac:dyDescent="0.25">
      <c r="B28" s="7" t="s">
        <v>35</v>
      </c>
      <c r="C28" s="7"/>
      <c r="D28" s="7"/>
      <c r="E28" s="7"/>
      <c r="F28" s="2" t="s">
        <v>36</v>
      </c>
      <c r="G28" s="2"/>
      <c r="H28" s="2"/>
      <c r="I28" s="2"/>
      <c r="J28" s="2"/>
      <c r="K28" s="2"/>
      <c r="L28" s="2"/>
      <c r="M28" s="2"/>
      <c r="N28" s="2"/>
      <c r="O28" s="31">
        <v>2000</v>
      </c>
      <c r="P28" s="31"/>
      <c r="Q28" s="5" t="s">
        <v>34</v>
      </c>
      <c r="R28" s="34"/>
      <c r="S28" s="34"/>
      <c r="T28" s="34"/>
      <c r="U28" s="6"/>
    </row>
    <row r="29" spans="2:21" x14ac:dyDescent="0.25">
      <c r="B29" s="7" t="s">
        <v>37</v>
      </c>
      <c r="C29" s="7"/>
      <c r="D29" s="7"/>
      <c r="E29" s="7"/>
      <c r="F29" s="2" t="s">
        <v>38</v>
      </c>
      <c r="G29" s="2"/>
      <c r="H29" s="2"/>
      <c r="I29" s="2"/>
      <c r="J29" s="2"/>
      <c r="K29" s="2"/>
      <c r="L29" s="2"/>
      <c r="M29" s="2"/>
      <c r="N29" s="2"/>
      <c r="O29" s="31">
        <v>200</v>
      </c>
      <c r="P29" s="31"/>
      <c r="Q29" s="5" t="s">
        <v>34</v>
      </c>
      <c r="R29" s="34"/>
      <c r="S29" s="34"/>
      <c r="T29" s="34"/>
      <c r="U29" s="6"/>
    </row>
    <row r="30" spans="2:21" x14ac:dyDescent="0.25">
      <c r="B30" s="7" t="s">
        <v>39</v>
      </c>
      <c r="C30" s="7"/>
      <c r="D30" s="7"/>
      <c r="E30" s="7"/>
      <c r="F30" s="2" t="s">
        <v>40</v>
      </c>
      <c r="G30" s="2"/>
      <c r="H30" s="2"/>
      <c r="I30" s="2"/>
      <c r="J30" s="2"/>
      <c r="K30" s="2"/>
      <c r="L30" s="2"/>
      <c r="M30" s="2"/>
      <c r="N30" s="2"/>
      <c r="O30" s="31">
        <v>1500</v>
      </c>
      <c r="P30" s="31"/>
      <c r="Q30" s="5" t="s">
        <v>41</v>
      </c>
      <c r="R30" s="34"/>
      <c r="S30" s="34"/>
      <c r="T30" s="34"/>
      <c r="U30" s="6"/>
    </row>
    <row r="31" spans="2:21" x14ac:dyDescent="0.25">
      <c r="B31" s="7" t="s">
        <v>42</v>
      </c>
      <c r="C31" s="7"/>
      <c r="D31" s="7"/>
      <c r="E31" s="7"/>
      <c r="F31" s="2" t="s">
        <v>43</v>
      </c>
      <c r="G31" s="2"/>
      <c r="H31" s="2"/>
      <c r="I31" s="2"/>
      <c r="J31" s="2"/>
      <c r="K31" s="2"/>
      <c r="L31" s="2"/>
      <c r="M31" s="2"/>
      <c r="N31" s="2"/>
      <c r="O31" s="31">
        <v>10000</v>
      </c>
      <c r="P31" s="31"/>
      <c r="Q31" s="5" t="s">
        <v>31</v>
      </c>
      <c r="R31" s="34"/>
      <c r="S31" s="34"/>
      <c r="T31" s="34"/>
      <c r="U31" s="6"/>
    </row>
    <row r="32" spans="2:21" x14ac:dyDescent="0.25">
      <c r="B32" s="7" t="s">
        <v>44</v>
      </c>
      <c r="C32" s="7"/>
      <c r="D32" s="7"/>
      <c r="E32" s="7"/>
      <c r="F32" s="2" t="s">
        <v>45</v>
      </c>
      <c r="G32" s="2"/>
      <c r="H32" s="2"/>
      <c r="I32" s="2"/>
      <c r="J32" s="2"/>
      <c r="K32" s="2"/>
      <c r="L32" s="2"/>
      <c r="M32" s="2"/>
      <c r="N32" s="2"/>
      <c r="O32" s="31">
        <v>200</v>
      </c>
      <c r="P32" s="31"/>
      <c r="Q32" s="5" t="s">
        <v>34</v>
      </c>
      <c r="R32" s="34"/>
      <c r="S32" s="34"/>
      <c r="T32" s="34"/>
      <c r="U32" s="6"/>
    </row>
    <row r="33" spans="2:29" x14ac:dyDescent="0.25">
      <c r="B33" s="7" t="s">
        <v>46</v>
      </c>
      <c r="C33" s="7"/>
      <c r="D33" s="7"/>
      <c r="E33" s="7"/>
      <c r="F33" s="2" t="s">
        <v>47</v>
      </c>
      <c r="G33" s="2"/>
      <c r="H33" s="2"/>
      <c r="I33" s="2"/>
      <c r="J33" s="2"/>
      <c r="K33" s="2"/>
      <c r="L33" s="2"/>
      <c r="M33" s="2"/>
      <c r="N33" s="2"/>
      <c r="O33" s="31">
        <v>5000</v>
      </c>
      <c r="P33" s="31"/>
      <c r="Q33" s="5" t="s">
        <v>34</v>
      </c>
      <c r="R33" s="34"/>
      <c r="S33" s="34"/>
      <c r="T33" s="34"/>
      <c r="U33" s="6"/>
    </row>
    <row r="34" spans="2:29" x14ac:dyDescent="0.25">
      <c r="B34" s="40" t="s">
        <v>48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2"/>
      <c r="O34" s="58">
        <f>SUM(O26:P33)</f>
        <v>34000</v>
      </c>
      <c r="P34" s="59"/>
      <c r="Q34" s="59"/>
      <c r="R34" s="59"/>
      <c r="S34" s="59"/>
      <c r="T34" s="59"/>
      <c r="U34" s="60"/>
    </row>
    <row r="35" spans="2:29" x14ac:dyDescent="0.25"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5"/>
      <c r="O35" s="61"/>
      <c r="P35" s="62"/>
      <c r="Q35" s="62"/>
      <c r="R35" s="62"/>
      <c r="S35" s="62"/>
      <c r="T35" s="62"/>
      <c r="U35" s="63"/>
    </row>
    <row r="36" spans="2:29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9" x14ac:dyDescent="0.25">
      <c r="B37" s="3" t="s">
        <v>49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2:29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2:29" x14ac:dyDescent="0.25">
      <c r="B39" s="8" t="s">
        <v>50</v>
      </c>
      <c r="C39" s="8"/>
      <c r="D39" s="8"/>
      <c r="E39" s="8" t="s">
        <v>51</v>
      </c>
      <c r="F39" s="8"/>
      <c r="G39" s="8"/>
      <c r="H39" s="8"/>
      <c r="I39" s="8" t="s">
        <v>52</v>
      </c>
      <c r="J39" s="8"/>
      <c r="K39" s="8"/>
      <c r="L39" s="8" t="s">
        <v>53</v>
      </c>
      <c r="M39" s="8"/>
      <c r="N39" s="8"/>
      <c r="O39" s="8" t="s">
        <v>54</v>
      </c>
      <c r="P39" s="8"/>
      <c r="Q39" s="8"/>
      <c r="R39" s="8" t="s">
        <v>55</v>
      </c>
      <c r="S39" s="8"/>
      <c r="T39" s="8"/>
      <c r="U39" s="8"/>
      <c r="Z39" s="32"/>
      <c r="AA39" s="32"/>
      <c r="AB39" s="32"/>
      <c r="AC39" s="32"/>
    </row>
    <row r="40" spans="2:29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2:29" x14ac:dyDescent="0.25">
      <c r="B41" s="39" t="s">
        <v>29</v>
      </c>
      <c r="C41" s="39"/>
      <c r="D41" s="39"/>
      <c r="E41" s="33" t="s">
        <v>56</v>
      </c>
      <c r="F41" s="33"/>
      <c r="G41" s="33"/>
      <c r="H41" s="33"/>
      <c r="I41" s="38">
        <v>10000</v>
      </c>
      <c r="J41" s="38"/>
      <c r="K41" s="38"/>
      <c r="L41" s="33">
        <v>4</v>
      </c>
      <c r="M41" s="33"/>
      <c r="N41" s="33"/>
      <c r="O41" s="64">
        <f>I41/L41</f>
        <v>2500</v>
      </c>
      <c r="P41" s="65"/>
      <c r="Q41" s="66"/>
      <c r="R41" s="35" t="s">
        <v>57</v>
      </c>
      <c r="S41" s="36"/>
      <c r="T41" s="36"/>
      <c r="U41" s="37"/>
      <c r="Z41" s="32"/>
      <c r="AA41" s="32"/>
      <c r="AB41" s="32"/>
      <c r="AC41" s="32"/>
    </row>
    <row r="42" spans="2:29" x14ac:dyDescent="0.25">
      <c r="B42" s="39" t="s">
        <v>58</v>
      </c>
      <c r="C42" s="39"/>
      <c r="D42" s="39"/>
      <c r="E42" s="33" t="s">
        <v>59</v>
      </c>
      <c r="F42" s="33"/>
      <c r="G42" s="33"/>
      <c r="H42" s="33"/>
      <c r="I42" s="38">
        <v>500</v>
      </c>
      <c r="J42" s="38"/>
      <c r="K42" s="38"/>
      <c r="L42" s="33">
        <v>4</v>
      </c>
      <c r="M42" s="33"/>
      <c r="N42" s="33"/>
      <c r="O42" s="64">
        <f>I42/L42</f>
        <v>125</v>
      </c>
      <c r="P42" s="65"/>
      <c r="Q42" s="66"/>
      <c r="R42" s="35" t="s">
        <v>57</v>
      </c>
      <c r="S42" s="36"/>
      <c r="T42" s="36"/>
      <c r="U42" s="37"/>
      <c r="Z42" s="32"/>
      <c r="AA42" s="32"/>
      <c r="AB42" s="32"/>
      <c r="AC42" s="32"/>
    </row>
    <row r="43" spans="2:29" x14ac:dyDescent="0.25">
      <c r="B43" s="39" t="s">
        <v>60</v>
      </c>
      <c r="C43" s="39"/>
      <c r="D43" s="39"/>
      <c r="E43" s="33" t="s">
        <v>61</v>
      </c>
      <c r="F43" s="33"/>
      <c r="G43" s="33"/>
      <c r="H43" s="33"/>
      <c r="I43" s="38">
        <v>20000</v>
      </c>
      <c r="J43" s="38"/>
      <c r="K43" s="38"/>
      <c r="L43" s="33">
        <v>4</v>
      </c>
      <c r="M43" s="33"/>
      <c r="N43" s="33"/>
      <c r="O43" s="64">
        <f>I43/L43</f>
        <v>5000</v>
      </c>
      <c r="P43" s="65"/>
      <c r="Q43" s="66"/>
      <c r="R43" s="35" t="s">
        <v>57</v>
      </c>
      <c r="S43" s="36"/>
      <c r="T43" s="36"/>
      <c r="U43" s="37"/>
      <c r="Z43" s="32"/>
      <c r="AA43" s="32"/>
      <c r="AB43" s="32"/>
      <c r="AC43" s="32"/>
    </row>
    <row r="44" spans="2:29" x14ac:dyDescent="0.25">
      <c r="B44" s="39" t="s">
        <v>62</v>
      </c>
      <c r="C44" s="39"/>
      <c r="D44" s="39"/>
      <c r="E44" s="33" t="s">
        <v>63</v>
      </c>
      <c r="F44" s="33"/>
      <c r="G44" s="33"/>
      <c r="H44" s="33"/>
      <c r="I44" s="38">
        <v>5000</v>
      </c>
      <c r="J44" s="38"/>
      <c r="K44" s="38"/>
      <c r="L44" s="33">
        <v>4</v>
      </c>
      <c r="M44" s="33"/>
      <c r="N44" s="33"/>
      <c r="O44" s="64">
        <f>I44/L44</f>
        <v>1250</v>
      </c>
      <c r="P44" s="65"/>
      <c r="Q44" s="66"/>
      <c r="R44" s="35" t="s">
        <v>57</v>
      </c>
      <c r="S44" s="36"/>
      <c r="T44" s="36"/>
      <c r="U44" s="37"/>
      <c r="Z44" s="32"/>
      <c r="AA44" s="32"/>
      <c r="AB44" s="32"/>
      <c r="AC44" s="32"/>
    </row>
    <row r="45" spans="2:29" x14ac:dyDescent="0.25">
      <c r="B45" s="39" t="s">
        <v>64</v>
      </c>
      <c r="C45" s="39"/>
      <c r="D45" s="39"/>
      <c r="E45" s="33" t="s">
        <v>65</v>
      </c>
      <c r="F45" s="33"/>
      <c r="G45" s="33"/>
      <c r="H45" s="33"/>
      <c r="I45" s="38">
        <v>3000</v>
      </c>
      <c r="J45" s="38"/>
      <c r="K45" s="38"/>
      <c r="L45" s="33">
        <v>4</v>
      </c>
      <c r="M45" s="33"/>
      <c r="N45" s="33"/>
      <c r="O45" s="64">
        <f>I45/L45</f>
        <v>750</v>
      </c>
      <c r="P45" s="65"/>
      <c r="Q45" s="66"/>
      <c r="R45" s="35" t="s">
        <v>57</v>
      </c>
      <c r="S45" s="36"/>
      <c r="T45" s="36"/>
      <c r="U45" s="37"/>
      <c r="Z45" s="32"/>
      <c r="AA45" s="32"/>
      <c r="AB45" s="32"/>
      <c r="AC45" s="32"/>
    </row>
    <row r="46" spans="2:29" x14ac:dyDescent="0.25">
      <c r="B46" s="67" t="s">
        <v>66</v>
      </c>
      <c r="C46" s="68"/>
      <c r="D46" s="68"/>
      <c r="E46" s="68"/>
      <c r="F46" s="68"/>
      <c r="G46" s="68"/>
      <c r="H46" s="69"/>
      <c r="I46" s="46">
        <f>SUM(I41:K45)</f>
        <v>38500</v>
      </c>
      <c r="J46" s="47"/>
      <c r="K46" s="47"/>
      <c r="L46" s="47"/>
      <c r="M46" s="47"/>
      <c r="N46" s="48"/>
      <c r="O46" s="52">
        <f>SUM(O41:Q45)</f>
        <v>9625</v>
      </c>
      <c r="P46" s="53"/>
      <c r="Q46" s="53"/>
      <c r="R46" s="53"/>
      <c r="S46" s="53"/>
      <c r="T46" s="53"/>
      <c r="U46" s="54"/>
    </row>
    <row r="47" spans="2:29" x14ac:dyDescent="0.25">
      <c r="B47" s="70"/>
      <c r="C47" s="71"/>
      <c r="D47" s="71"/>
      <c r="E47" s="71"/>
      <c r="F47" s="71"/>
      <c r="G47" s="71"/>
      <c r="H47" s="72"/>
      <c r="I47" s="49"/>
      <c r="J47" s="50"/>
      <c r="K47" s="50"/>
      <c r="L47" s="50"/>
      <c r="M47" s="50"/>
      <c r="N47" s="51"/>
      <c r="O47" s="55"/>
      <c r="P47" s="56"/>
      <c r="Q47" s="56"/>
      <c r="R47" s="56"/>
      <c r="S47" s="56"/>
      <c r="T47" s="56"/>
      <c r="U47" s="57"/>
    </row>
  </sheetData>
  <mergeCells count="118">
    <mergeCell ref="L39:N40"/>
    <mergeCell ref="O39:Q40"/>
    <mergeCell ref="R39:U40"/>
    <mergeCell ref="R41:U41"/>
    <mergeCell ref="B41:D41"/>
    <mergeCell ref="Z44:AC44"/>
    <mergeCell ref="Z43:AC43"/>
    <mergeCell ref="B34:N35"/>
    <mergeCell ref="I46:N47"/>
    <mergeCell ref="O46:U47"/>
    <mergeCell ref="O34:U35"/>
    <mergeCell ref="B42:D42"/>
    <mergeCell ref="B43:D43"/>
    <mergeCell ref="R45:U45"/>
    <mergeCell ref="O41:Q41"/>
    <mergeCell ref="O42:Q42"/>
    <mergeCell ref="O43:Q43"/>
    <mergeCell ref="O44:Q44"/>
    <mergeCell ref="O45:Q45"/>
    <mergeCell ref="E41:H41"/>
    <mergeCell ref="E42:H42"/>
    <mergeCell ref="R43:U43"/>
    <mergeCell ref="R44:U44"/>
    <mergeCell ref="B46:H47"/>
    <mergeCell ref="Q28:U28"/>
    <mergeCell ref="Q29:U29"/>
    <mergeCell ref="Q30:U30"/>
    <mergeCell ref="Q31:U31"/>
    <mergeCell ref="Q32:U32"/>
    <mergeCell ref="Q33:U33"/>
    <mergeCell ref="R42:U42"/>
    <mergeCell ref="Z45:AC45"/>
    <mergeCell ref="B39:D40"/>
    <mergeCell ref="E39:H40"/>
    <mergeCell ref="E43:H43"/>
    <mergeCell ref="E44:H44"/>
    <mergeCell ref="E45:H45"/>
    <mergeCell ref="I41:K41"/>
    <mergeCell ref="I42:K42"/>
    <mergeCell ref="I43:K43"/>
    <mergeCell ref="I44:K44"/>
    <mergeCell ref="I45:K45"/>
    <mergeCell ref="L44:N44"/>
    <mergeCell ref="L45:N45"/>
    <mergeCell ref="B44:D44"/>
    <mergeCell ref="B45:D45"/>
    <mergeCell ref="L43:N43"/>
    <mergeCell ref="I39:K40"/>
    <mergeCell ref="Z39:AC39"/>
    <mergeCell ref="Z41:AC41"/>
    <mergeCell ref="Z42:AC42"/>
    <mergeCell ref="Q24:U25"/>
    <mergeCell ref="L41:N41"/>
    <mergeCell ref="L42:N42"/>
    <mergeCell ref="D16:H16"/>
    <mergeCell ref="D17:H17"/>
    <mergeCell ref="D18:H18"/>
    <mergeCell ref="D19:H19"/>
    <mergeCell ref="D20:H20"/>
    <mergeCell ref="I17:L17"/>
    <mergeCell ref="I18:L18"/>
    <mergeCell ref="I19:L19"/>
    <mergeCell ref="I20:L20"/>
    <mergeCell ref="O28:P28"/>
    <mergeCell ref="O29:P29"/>
    <mergeCell ref="O33:P33"/>
    <mergeCell ref="O30:P30"/>
    <mergeCell ref="O31:P31"/>
    <mergeCell ref="O32:P32"/>
    <mergeCell ref="B24:E25"/>
    <mergeCell ref="F28:N28"/>
    <mergeCell ref="F31:N31"/>
    <mergeCell ref="I16:L16"/>
    <mergeCell ref="F24:N25"/>
    <mergeCell ref="F26:N26"/>
    <mergeCell ref="F27:N27"/>
    <mergeCell ref="B2:I7"/>
    <mergeCell ref="B9:U10"/>
    <mergeCell ref="B18:C18"/>
    <mergeCell ref="B19:C19"/>
    <mergeCell ref="B20:C20"/>
    <mergeCell ref="O24:P25"/>
    <mergeCell ref="B12:U13"/>
    <mergeCell ref="B14:C15"/>
    <mergeCell ref="D14:H15"/>
    <mergeCell ref="I14:L15"/>
    <mergeCell ref="M14:Q15"/>
    <mergeCell ref="R14:U15"/>
    <mergeCell ref="O26:P26"/>
    <mergeCell ref="O27:P27"/>
    <mergeCell ref="B22:U23"/>
    <mergeCell ref="B26:E26"/>
    <mergeCell ref="Q26:U26"/>
    <mergeCell ref="Q27:U27"/>
    <mergeCell ref="R16:U16"/>
    <mergeCell ref="R17:U17"/>
    <mergeCell ref="R18:U18"/>
    <mergeCell ref="R19:U19"/>
    <mergeCell ref="R20:U20"/>
    <mergeCell ref="M16:Q16"/>
    <mergeCell ref="B37:U38"/>
    <mergeCell ref="B16:C16"/>
    <mergeCell ref="B17:C17"/>
    <mergeCell ref="B32:E32"/>
    <mergeCell ref="B33:E33"/>
    <mergeCell ref="B27:E27"/>
    <mergeCell ref="B28:E28"/>
    <mergeCell ref="B29:E29"/>
    <mergeCell ref="F29:N29"/>
    <mergeCell ref="F30:N30"/>
    <mergeCell ref="F32:N32"/>
    <mergeCell ref="F33:N33"/>
    <mergeCell ref="B30:E30"/>
    <mergeCell ref="B31:E31"/>
    <mergeCell ref="M17:Q17"/>
    <mergeCell ref="M18:Q18"/>
    <mergeCell ref="M19:Q19"/>
    <mergeCell ref="M20:Q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PIANO OPERATIVO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STEFANO CARAMAGNO</cp:lastModifiedBy>
  <cp:revision/>
  <dcterms:created xsi:type="dcterms:W3CDTF">2006-09-16T00:00:00Z</dcterms:created>
  <dcterms:modified xsi:type="dcterms:W3CDTF">2026-08-13T11:02:49Z</dcterms:modified>
  <cp:category/>
  <cp:contentStatus/>
</cp:coreProperties>
</file>