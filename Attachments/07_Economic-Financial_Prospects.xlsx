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11"/>
  <workbookPr/>
  <mc:AlternateContent xmlns:mc="http://schemas.openxmlformats.org/markup-compatibility/2006">
    <mc:Choice Requires="x15">
      <x15ac:absPath xmlns:x15ac="http://schemas.microsoft.com/office/spreadsheetml/2010/11/ac" url="https://studentiunict-my.sharepoint.com/personal/clbfrc03d05c351r_studium_unict_it/Documents/Università/Terzo anno (a.a. 2023-2024)/startup di impresa e modelli di business/elaborati/Business Plan/"/>
    </mc:Choice>
  </mc:AlternateContent>
  <xr:revisionPtr revIDLastSave="1123" documentId="11_C8706DE7DCCB40836B02CE998F75CCDC64E19E90" xr6:coauthVersionLast="47" xr6:coauthVersionMax="47" xr10:uidLastSave="{58990C03-79D9-4283-97DF-1EBF55B6B121}"/>
  <bookViews>
    <workbookView xWindow="0" yWindow="740" windowWidth="30240" windowHeight="18900" xr2:uid="{00000000-000D-0000-FFFF-FFFF00000000}"/>
  </bookViews>
  <sheets>
    <sheet name="PROSPETTI ECONOMICI-FINANZIAR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9" i="1" l="1"/>
  <c r="J89" i="1"/>
  <c r="S45" i="1"/>
  <c r="S47" i="1" s="1"/>
  <c r="P45" i="1"/>
  <c r="P47" i="1" s="1"/>
  <c r="M45" i="1"/>
  <c r="M47" i="1" s="1"/>
  <c r="J45" i="1"/>
  <c r="J47" i="1" s="1"/>
  <c r="M22" i="1"/>
  <c r="M23" i="1" s="1"/>
  <c r="J22" i="1"/>
  <c r="C92" i="1"/>
  <c r="S59" i="1"/>
  <c r="P59" i="1"/>
  <c r="M59" i="1"/>
  <c r="J59" i="1"/>
  <c r="P90" i="1"/>
  <c r="S90" i="1"/>
  <c r="S87" i="1"/>
  <c r="P87" i="1"/>
  <c r="J23" i="1" l="1"/>
  <c r="P22" i="1"/>
  <c r="M95" i="1"/>
  <c r="M94" i="1"/>
  <c r="M93" i="1"/>
  <c r="J93" i="1"/>
  <c r="J95" i="1"/>
  <c r="J94" i="1"/>
  <c r="P28" i="1"/>
  <c r="M35" i="1"/>
  <c r="J35" i="1"/>
  <c r="P33" i="1"/>
  <c r="P31" i="1"/>
  <c r="P32" i="1"/>
  <c r="P30" i="1"/>
  <c r="P27" i="1"/>
  <c r="P26" i="1"/>
  <c r="P18" i="1"/>
  <c r="P19" i="1"/>
  <c r="P20" i="1"/>
  <c r="P21" i="1"/>
  <c r="P17" i="1"/>
  <c r="P16" i="1"/>
  <c r="P23" i="1" s="1"/>
  <c r="M90" i="1"/>
  <c r="J90" i="1"/>
  <c r="J86" i="1" l="1"/>
  <c r="J87" i="1" s="1"/>
  <c r="M86" i="1"/>
  <c r="M87" i="1" s="1"/>
  <c r="P35" i="1"/>
</calcChain>
</file>

<file path=xl/sharedStrings.xml><?xml version="1.0" encoding="utf-8"?>
<sst xmlns="http://schemas.openxmlformats.org/spreadsheetml/2006/main" count="109" uniqueCount="75">
  <si>
    <t xml:space="preserve">    EQUAL OPPORTUNITIES</t>
  </si>
  <si>
    <t>PROSPETTI ECONOMICI-FINANZIARI</t>
  </si>
  <si>
    <t>PROSPETTO FONTI / IMPIEGHI</t>
  </si>
  <si>
    <t>REALIZZAZIONE PIANO D'IMPRESA (24 MESI)</t>
  </si>
  <si>
    <t>ANNO 1° (€)</t>
  </si>
  <si>
    <t>ANNO 2° (€)</t>
  </si>
  <si>
    <t>TOTALE (€)</t>
  </si>
  <si>
    <t xml:space="preserve"> Investimenti materiali</t>
  </si>
  <si>
    <t xml:space="preserve"> Investimenti immateriali </t>
  </si>
  <si>
    <t xml:space="preserve"> Servizi funzionali </t>
  </si>
  <si>
    <t xml:space="preserve"> Marketing e Web marketing</t>
  </si>
  <si>
    <t xml:space="preserve"> Dipendenti e collaboratori</t>
  </si>
  <si>
    <t xml:space="preserve"> Circolante (ai sensi dell'art. 5 comma 7 DM 30.08-2019)</t>
  </si>
  <si>
    <t xml:space="preserve"> IVA sugli impieghi</t>
  </si>
  <si>
    <t xml:space="preserve"> Totale impieghi (€)</t>
  </si>
  <si>
    <t xml:space="preserve"> Mezzi proprI</t>
  </si>
  <si>
    <t xml:space="preserve"> Capitale sociale</t>
  </si>
  <si>
    <t xml:space="preserve"> Incremento Capitale sociale</t>
  </si>
  <si>
    <t xml:space="preserve"> Finanziamenti Soci</t>
  </si>
  <si>
    <t xml:space="preserve"> Finanziamenti extra Smart&amp;Start Italia</t>
  </si>
  <si>
    <t xml:space="preserve"> Finanziamenti bancari a breve termine</t>
  </si>
  <si>
    <t xml:space="preserve"> Finanziamenti bancari a medio-lungo termine</t>
  </si>
  <si>
    <t xml:space="preserve"> Altre disponibilita (specificare)</t>
  </si>
  <si>
    <t xml:space="preserve"> Finanziamento Smart&amp;Start Italia 
 (ai senso dell'art. 6 commi 1-2 DM 20.08-2019)</t>
  </si>
  <si>
    <t xml:space="preserve"> Totale fonti (€)</t>
  </si>
  <si>
    <t>COSTO ECONOMICO RICLASSIFICATO</t>
  </si>
  <si>
    <t>ANNO 3° (€)</t>
  </si>
  <si>
    <t>ANNO 4° (€)</t>
  </si>
  <si>
    <t xml:space="preserve"> Ricavi totali</t>
  </si>
  <si>
    <t xml:space="preserve"> Costo del venduto
 (Rimanenze iniziali + Acquisti - Rimanenze Finali)</t>
  </si>
  <si>
    <t>A)</t>
  </si>
  <si>
    <t xml:space="preserve"> Margine Lordo (€)</t>
  </si>
  <si>
    <t xml:space="preserve"> Margine Lordo %</t>
  </si>
  <si>
    <t xml:space="preserve"> Costi Operativi</t>
  </si>
  <si>
    <t xml:space="preserve"> Godimento di beni di terzi</t>
  </si>
  <si>
    <t xml:space="preserve"> Personale</t>
  </si>
  <si>
    <t xml:space="preserve"> Marketing e vendite</t>
  </si>
  <si>
    <t xml:space="preserve"> Ammortamento e svalutazioni</t>
  </si>
  <si>
    <t xml:space="preserve"> Accantonamenti per rischi ed oneri</t>
  </si>
  <si>
    <t xml:space="preserve"> Oneri diversi di gestione</t>
  </si>
  <si>
    <t>B)</t>
  </si>
  <si>
    <t xml:space="preserve"> Totale costi operativi (€)</t>
  </si>
  <si>
    <t xml:space="preserve"> Risultato Operativo (€)</t>
  </si>
  <si>
    <t xml:space="preserve"> Altre entrate (uscite)</t>
  </si>
  <si>
    <t xml:space="preserve"> Proventi finanziari (o straordinari)</t>
  </si>
  <si>
    <t>N/A</t>
  </si>
  <si>
    <t xml:space="preserve"> Interessi passivi e altri oneri finanziari</t>
  </si>
  <si>
    <t xml:space="preserve"> Interessi passivi e altri oneri finanziari	</t>
  </si>
  <si>
    <t xml:space="preserve"> Imposte sul reddito</t>
  </si>
  <si>
    <t>C)</t>
  </si>
  <si>
    <t xml:space="preserve"> Totale altre entrate (uscite)</t>
  </si>
  <si>
    <t>A-B-C</t>
  </si>
  <si>
    <t xml:space="preserve"> Utile (perdita) d'esercizio</t>
  </si>
  <si>
    <t xml:space="preserve"> Margine di profitto %</t>
  </si>
  <si>
    <t>Indicare eventuali debiti/Finanziamenti in essere (tipologia)</t>
  </si>
  <si>
    <t>Scadenza</t>
  </si>
  <si>
    <t>Importo (€)</t>
  </si>
  <si>
    <t xml:space="preserve"> Totale (€) </t>
  </si>
  <si>
    <t>PROSPETTO DEI FLUSSI DI CASSA</t>
  </si>
  <si>
    <t xml:space="preserve"> + </t>
  </si>
  <si>
    <t xml:space="preserve"> +</t>
  </si>
  <si>
    <t xml:space="preserve">Accantonamento per rischi e oneri </t>
  </si>
  <si>
    <t xml:space="preserve"> Cash flow Operativo (€)</t>
  </si>
  <si>
    <t xml:space="preserve"> -</t>
  </si>
  <si>
    <t xml:space="preserve"> Investimenti</t>
  </si>
  <si>
    <t xml:space="preserve"> Cash Flow Investimenti (€)</t>
  </si>
  <si>
    <t xml:space="preserve"> Finanziamenti</t>
  </si>
  <si>
    <t xml:space="preserve"> Bancari </t>
  </si>
  <si>
    <t xml:space="preserve"> Soci</t>
  </si>
  <si>
    <t xml:space="preserve"> Smart&amp;Start Italia</t>
  </si>
  <si>
    <t>Rimborso Finanziamenti</t>
  </si>
  <si>
    <t xml:space="preserve">Aumenti di capitale (versamenti) </t>
  </si>
  <si>
    <t xml:space="preserve"> Cash Flow Finanziamento </t>
  </si>
  <si>
    <t xml:space="preserve"> Cassa e Banche (Inizio Periodo) </t>
  </si>
  <si>
    <t xml:space="preserve"> Cassa e Banche (Fine Periodo)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</si>
</sst>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[$€-2]\ #,##0.00;[Red]\-[$€-2]\ #,##0.00"/>
  </numFmts>
  <fonts count="13">
    <font>
      <sz val="11"/>
      <color theme="1"/>
      <name val="Calibri"/>
      <family val="2"/>
      <scheme val="minor"/>
    </font>
    <font>
      <b/>
      <sz val="15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2"/>
      <color theme="6" tint="0.39997558519241921"/>
      <name val="Arial"/>
      <family val="2"/>
    </font>
    <font>
      <sz val="12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1"/>
      <color theme="1"/>
      <name val="Arial"/>
    </font>
    <font>
      <b/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7C7AC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5" fillId="0" borderId="4" xfId="0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left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64" fontId="6" fillId="4" borderId="12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left"/>
    </xf>
    <xf numFmtId="0" fontId="5" fillId="4" borderId="19" xfId="0" applyFont="1" applyFill="1" applyBorder="1" applyAlignment="1">
      <alignment horizontal="left"/>
    </xf>
    <xf numFmtId="0" fontId="5" fillId="4" borderId="20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9" xfId="0" applyFont="1" applyFill="1" applyBorder="1" applyAlignment="1">
      <alignment horizontal="left"/>
    </xf>
    <xf numFmtId="0" fontId="5" fillId="4" borderId="10" xfId="0" applyFont="1" applyFill="1" applyBorder="1" applyAlignment="1">
      <alignment horizontal="left"/>
    </xf>
    <xf numFmtId="0" fontId="5" fillId="4" borderId="1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164" fontId="11" fillId="4" borderId="9" xfId="0" applyNumberFormat="1" applyFont="1" applyFill="1" applyBorder="1" applyAlignment="1">
      <alignment horizontal="left" vertical="center"/>
    </xf>
    <xf numFmtId="164" fontId="11" fillId="4" borderId="10" xfId="0" applyNumberFormat="1" applyFont="1" applyFill="1" applyBorder="1" applyAlignment="1">
      <alignment horizontal="left" vertical="center"/>
    </xf>
    <xf numFmtId="164" fontId="11" fillId="4" borderId="11" xfId="0" applyNumberFormat="1" applyFont="1" applyFill="1" applyBorder="1" applyAlignment="1">
      <alignment horizontal="left" vertical="center"/>
    </xf>
    <xf numFmtId="164" fontId="6" fillId="4" borderId="9" xfId="0" applyNumberFormat="1" applyFont="1" applyFill="1" applyBorder="1" applyAlignment="1">
      <alignment horizontal="left" vertical="center"/>
    </xf>
    <xf numFmtId="164" fontId="6" fillId="4" borderId="10" xfId="0" applyNumberFormat="1" applyFont="1" applyFill="1" applyBorder="1" applyAlignment="1">
      <alignment horizontal="left" vertical="center"/>
    </xf>
    <xf numFmtId="164" fontId="6" fillId="4" borderId="11" xfId="0" applyNumberFormat="1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 vertical="center"/>
    </xf>
    <xf numFmtId="0" fontId="11" fillId="4" borderId="11" xfId="0" applyFont="1" applyFill="1" applyBorder="1" applyAlignment="1">
      <alignment horizontal="left" vertical="center"/>
    </xf>
    <xf numFmtId="164" fontId="11" fillId="4" borderId="12" xfId="0" applyNumberFormat="1" applyFont="1" applyFill="1" applyBorder="1" applyAlignment="1">
      <alignment horizontal="left" vertical="center"/>
    </xf>
    <xf numFmtId="9" fontId="11" fillId="4" borderId="1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left"/>
    </xf>
    <xf numFmtId="164" fontId="6" fillId="4" borderId="2" xfId="0" applyNumberFormat="1" applyFont="1" applyFill="1" applyBorder="1" applyAlignment="1">
      <alignment horizontal="left" vertical="center"/>
    </xf>
    <xf numFmtId="164" fontId="6" fillId="4" borderId="3" xfId="0" applyNumberFormat="1" applyFont="1" applyFill="1" applyBorder="1" applyAlignment="1">
      <alignment horizontal="left" vertical="center"/>
    </xf>
    <xf numFmtId="164" fontId="6" fillId="4" borderId="4" xfId="0" applyNumberFormat="1" applyFont="1" applyFill="1" applyBorder="1" applyAlignment="1">
      <alignment horizontal="left" vertical="center"/>
    </xf>
    <xf numFmtId="164" fontId="6" fillId="4" borderId="5" xfId="0" applyNumberFormat="1" applyFont="1" applyFill="1" applyBorder="1" applyAlignment="1">
      <alignment horizontal="left" vertical="center"/>
    </xf>
    <xf numFmtId="164" fontId="6" fillId="4" borderId="6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5" fillId="0" borderId="12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/>
    </xf>
    <xf numFmtId="0" fontId="0" fillId="0" borderId="12" xfId="0" applyBorder="1" applyAlignment="1">
      <alignment horizontal="center"/>
    </xf>
    <xf numFmtId="165" fontId="6" fillId="4" borderId="11" xfId="0" applyNumberFormat="1" applyFont="1" applyFill="1" applyBorder="1" applyAlignment="1">
      <alignment horizontal="left" vertical="center"/>
    </xf>
    <xf numFmtId="165" fontId="6" fillId="4" borderId="12" xfId="0" applyNumberFormat="1" applyFont="1" applyFill="1" applyBorder="1" applyAlignment="1">
      <alignment horizontal="left" vertical="center"/>
    </xf>
    <xf numFmtId="165" fontId="11" fillId="4" borderId="11" xfId="0" applyNumberFormat="1" applyFont="1" applyFill="1" applyBorder="1" applyAlignment="1">
      <alignment horizontal="left" vertical="center"/>
    </xf>
    <xf numFmtId="165" fontId="11" fillId="4" borderId="12" xfId="0" applyNumberFormat="1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3" fontId="6" fillId="4" borderId="12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5" fontId="11" fillId="4" borderId="9" xfId="0" applyNumberFormat="1" applyFont="1" applyFill="1" applyBorder="1" applyAlignment="1">
      <alignment horizontal="left" vertical="center"/>
    </xf>
    <xf numFmtId="165" fontId="11" fillId="4" borderId="10" xfId="0" applyNumberFormat="1" applyFont="1" applyFill="1" applyBorder="1" applyAlignment="1">
      <alignment horizontal="left" vertical="center"/>
    </xf>
    <xf numFmtId="165" fontId="11" fillId="4" borderId="4" xfId="0" applyNumberFormat="1" applyFont="1" applyFill="1" applyBorder="1" applyAlignment="1">
      <alignment horizontal="left" vertical="center"/>
    </xf>
    <xf numFmtId="165" fontId="11" fillId="4" borderId="5" xfId="0" applyNumberFormat="1" applyFont="1" applyFill="1" applyBorder="1" applyAlignment="1">
      <alignment horizontal="left" vertical="center"/>
    </xf>
    <xf numFmtId="165" fontId="11" fillId="4" borderId="6" xfId="0" applyNumberFormat="1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9" fontId="6" fillId="4" borderId="11" xfId="0" applyNumberFormat="1" applyFont="1" applyFill="1" applyBorder="1" applyAlignment="1">
      <alignment horizontal="left" vertical="center"/>
    </xf>
    <xf numFmtId="165" fontId="6" fillId="4" borderId="9" xfId="0" applyNumberFormat="1" applyFont="1" applyFill="1" applyBorder="1" applyAlignment="1">
      <alignment horizontal="left" vertical="center"/>
    </xf>
    <xf numFmtId="165" fontId="6" fillId="4" borderId="10" xfId="0" applyNumberFormat="1" applyFont="1" applyFill="1" applyBorder="1" applyAlignment="1">
      <alignment horizontal="left" vertical="center"/>
    </xf>
    <xf numFmtId="165" fontId="6" fillId="4" borderId="4" xfId="0" applyNumberFormat="1" applyFont="1" applyFill="1" applyBorder="1" applyAlignment="1">
      <alignment horizontal="left" vertical="center"/>
    </xf>
    <xf numFmtId="165" fontId="6" fillId="4" borderId="5" xfId="0" applyNumberFormat="1" applyFont="1" applyFill="1" applyBorder="1" applyAlignment="1">
      <alignment horizontal="left" vertical="center"/>
    </xf>
    <xf numFmtId="165" fontId="6" fillId="4" borderId="6" xfId="0" applyNumberFormat="1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7E6E6"/>
      <color rgb="FFF7C7AC"/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38100</xdr:rowOff>
    </xdr:from>
    <xdr:to>
      <xdr:col>2</xdr:col>
      <xdr:colOff>438150</xdr:colOff>
      <xdr:row>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B5C6F5-9FBF-44AB-AEE9-D317B159C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28600"/>
          <a:ext cx="89535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103"/>
  <sheetViews>
    <sheetView tabSelected="1" zoomScale="106" workbookViewId="0">
      <selection activeCell="Y91" sqref="Y91"/>
    </sheetView>
  </sheetViews>
  <sheetFormatPr defaultColWidth="8.85546875" defaultRowHeight="15"/>
  <cols>
    <col min="10" max="10" width="12.42578125" bestFit="1" customWidth="1"/>
    <col min="13" max="13" width="12.42578125" bestFit="1" customWidth="1"/>
    <col min="21" max="21" width="9" customWidth="1"/>
  </cols>
  <sheetData>
    <row r="2" spans="2:21">
      <c r="B2" s="56" t="s">
        <v>0</v>
      </c>
      <c r="C2" s="57"/>
      <c r="D2" s="57"/>
      <c r="E2" s="57"/>
      <c r="F2" s="57"/>
      <c r="G2" s="57"/>
      <c r="H2" s="57"/>
      <c r="I2" s="58"/>
    </row>
    <row r="3" spans="2:21">
      <c r="B3" s="59"/>
      <c r="C3" s="60"/>
      <c r="D3" s="60"/>
      <c r="E3" s="60"/>
      <c r="F3" s="60"/>
      <c r="G3" s="60"/>
      <c r="H3" s="60"/>
      <c r="I3" s="61"/>
    </row>
    <row r="4" spans="2:21">
      <c r="B4" s="59"/>
      <c r="C4" s="60"/>
      <c r="D4" s="60"/>
      <c r="E4" s="60"/>
      <c r="F4" s="60"/>
      <c r="G4" s="60"/>
      <c r="H4" s="60"/>
      <c r="I4" s="61"/>
    </row>
    <row r="5" spans="2:21">
      <c r="B5" s="59"/>
      <c r="C5" s="60"/>
      <c r="D5" s="60"/>
      <c r="E5" s="60"/>
      <c r="F5" s="60"/>
      <c r="G5" s="60"/>
      <c r="H5" s="60"/>
      <c r="I5" s="61"/>
    </row>
    <row r="6" spans="2:21">
      <c r="B6" s="59"/>
      <c r="C6" s="60"/>
      <c r="D6" s="60"/>
      <c r="E6" s="60"/>
      <c r="F6" s="60"/>
      <c r="G6" s="60"/>
      <c r="H6" s="60"/>
      <c r="I6" s="61"/>
    </row>
    <row r="7" spans="2:21">
      <c r="B7" s="62"/>
      <c r="C7" s="63"/>
      <c r="D7" s="63"/>
      <c r="E7" s="63"/>
      <c r="F7" s="63"/>
      <c r="G7" s="63"/>
      <c r="H7" s="63"/>
      <c r="I7" s="64"/>
    </row>
    <row r="9" spans="2:21">
      <c r="B9" s="107" t="s">
        <v>1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9"/>
    </row>
    <row r="10" spans="2:21">
      <c r="B10" s="110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2"/>
    </row>
    <row r="12" spans="2:21">
      <c r="B12" s="113" t="s">
        <v>2</v>
      </c>
      <c r="C12" s="113"/>
      <c r="D12" s="113"/>
      <c r="E12" s="113"/>
      <c r="F12" s="113"/>
      <c r="G12" s="113"/>
      <c r="H12" s="113"/>
      <c r="I12" s="113"/>
      <c r="J12" s="34" t="s">
        <v>3</v>
      </c>
      <c r="K12" s="34"/>
      <c r="L12" s="34"/>
      <c r="M12" s="34"/>
      <c r="N12" s="34"/>
      <c r="O12" s="35"/>
      <c r="P12" s="114"/>
      <c r="Q12" s="115"/>
      <c r="R12" s="115"/>
      <c r="S12" s="115"/>
      <c r="T12" s="115"/>
      <c r="U12" s="116"/>
    </row>
    <row r="13" spans="2:21">
      <c r="B13" s="113"/>
      <c r="C13" s="113"/>
      <c r="D13" s="113"/>
      <c r="E13" s="113"/>
      <c r="F13" s="113"/>
      <c r="G13" s="113"/>
      <c r="H13" s="113"/>
      <c r="I13" s="113"/>
      <c r="J13" s="36"/>
      <c r="K13" s="36"/>
      <c r="L13" s="36"/>
      <c r="M13" s="36"/>
      <c r="N13" s="36"/>
      <c r="O13" s="37"/>
      <c r="P13" s="117"/>
      <c r="Q13" s="118"/>
      <c r="R13" s="118"/>
      <c r="S13" s="118"/>
      <c r="T13" s="118"/>
      <c r="U13" s="119"/>
    </row>
    <row r="14" spans="2:21" ht="15" customHeight="1">
      <c r="B14" s="113"/>
      <c r="C14" s="113"/>
      <c r="D14" s="113"/>
      <c r="E14" s="113"/>
      <c r="F14" s="113"/>
      <c r="G14" s="113"/>
      <c r="H14" s="113"/>
      <c r="I14" s="113"/>
      <c r="J14" s="34" t="s">
        <v>4</v>
      </c>
      <c r="K14" s="34"/>
      <c r="L14" s="35"/>
      <c r="M14" s="38" t="s">
        <v>5</v>
      </c>
      <c r="N14" s="39"/>
      <c r="O14" s="40"/>
      <c r="P14" s="12" t="s">
        <v>6</v>
      </c>
      <c r="Q14" s="13"/>
      <c r="R14" s="13"/>
      <c r="S14" s="13"/>
      <c r="T14" s="13"/>
      <c r="U14" s="14"/>
    </row>
    <row r="15" spans="2:21" ht="15" customHeight="1">
      <c r="B15" s="113"/>
      <c r="C15" s="113"/>
      <c r="D15" s="113"/>
      <c r="E15" s="113"/>
      <c r="F15" s="113"/>
      <c r="G15" s="113"/>
      <c r="H15" s="113"/>
      <c r="I15" s="113"/>
      <c r="J15" s="36"/>
      <c r="K15" s="36"/>
      <c r="L15" s="37"/>
      <c r="M15" s="41"/>
      <c r="N15" s="42"/>
      <c r="O15" s="43"/>
      <c r="P15" s="15"/>
      <c r="Q15" s="16"/>
      <c r="R15" s="16"/>
      <c r="S15" s="16"/>
      <c r="T15" s="16"/>
      <c r="U15" s="17"/>
    </row>
    <row r="16" spans="2:21">
      <c r="B16" s="1">
        <v>1</v>
      </c>
      <c r="C16" s="120" t="s">
        <v>7</v>
      </c>
      <c r="D16" s="121"/>
      <c r="E16" s="121"/>
      <c r="F16" s="121"/>
      <c r="G16" s="121"/>
      <c r="H16" s="121"/>
      <c r="I16" s="122"/>
      <c r="J16" s="78">
        <v>110000</v>
      </c>
      <c r="K16" s="79"/>
      <c r="L16" s="80"/>
      <c r="M16" s="78">
        <v>86750</v>
      </c>
      <c r="N16" s="79"/>
      <c r="O16" s="80"/>
      <c r="P16" s="78">
        <f>J16+M16</f>
        <v>196750</v>
      </c>
      <c r="Q16" s="79"/>
      <c r="R16" s="79"/>
      <c r="S16" s="79"/>
      <c r="T16" s="79"/>
      <c r="U16" s="80"/>
    </row>
    <row r="17" spans="2:21">
      <c r="B17" s="1">
        <v>2</v>
      </c>
      <c r="C17" s="97" t="s">
        <v>8</v>
      </c>
      <c r="D17" s="88"/>
      <c r="E17" s="88"/>
      <c r="F17" s="88"/>
      <c r="G17" s="88"/>
      <c r="H17" s="88"/>
      <c r="I17" s="89"/>
      <c r="J17" s="78">
        <v>32780</v>
      </c>
      <c r="K17" s="79"/>
      <c r="L17" s="80"/>
      <c r="M17" s="78">
        <v>37500</v>
      </c>
      <c r="N17" s="79"/>
      <c r="O17" s="80"/>
      <c r="P17" s="78">
        <f>J17+M17</f>
        <v>70280</v>
      </c>
      <c r="Q17" s="79"/>
      <c r="R17" s="79"/>
      <c r="S17" s="79"/>
      <c r="T17" s="79"/>
      <c r="U17" s="80"/>
    </row>
    <row r="18" spans="2:21">
      <c r="B18" s="1">
        <v>3</v>
      </c>
      <c r="C18" s="97" t="s">
        <v>9</v>
      </c>
      <c r="D18" s="88"/>
      <c r="E18" s="88"/>
      <c r="F18" s="88"/>
      <c r="G18" s="88"/>
      <c r="H18" s="88"/>
      <c r="I18" s="89"/>
      <c r="J18" s="78">
        <v>30000</v>
      </c>
      <c r="K18" s="79"/>
      <c r="L18" s="80"/>
      <c r="M18" s="78">
        <v>17500</v>
      </c>
      <c r="N18" s="79"/>
      <c r="O18" s="80"/>
      <c r="P18" s="78">
        <f t="shared" ref="P18:P21" si="0">J18+M18</f>
        <v>47500</v>
      </c>
      <c r="Q18" s="79"/>
      <c r="R18" s="79"/>
      <c r="S18" s="79"/>
      <c r="T18" s="79"/>
      <c r="U18" s="80"/>
    </row>
    <row r="19" spans="2:21">
      <c r="B19" s="1">
        <v>4</v>
      </c>
      <c r="C19" s="97" t="s">
        <v>10</v>
      </c>
      <c r="D19" s="88"/>
      <c r="E19" s="88"/>
      <c r="F19" s="88"/>
      <c r="G19" s="88"/>
      <c r="H19" s="88"/>
      <c r="I19" s="89"/>
      <c r="J19" s="75">
        <v>60500</v>
      </c>
      <c r="K19" s="76"/>
      <c r="L19" s="77"/>
      <c r="M19" s="75">
        <v>53900</v>
      </c>
      <c r="N19" s="76"/>
      <c r="O19" s="77"/>
      <c r="P19" s="78">
        <f t="shared" si="0"/>
        <v>114400</v>
      </c>
      <c r="Q19" s="79"/>
      <c r="R19" s="79"/>
      <c r="S19" s="79"/>
      <c r="T19" s="79"/>
      <c r="U19" s="80"/>
    </row>
    <row r="20" spans="2:21">
      <c r="B20" s="1">
        <v>5</v>
      </c>
      <c r="C20" s="97" t="s">
        <v>11</v>
      </c>
      <c r="D20" s="88"/>
      <c r="E20" s="88"/>
      <c r="F20" s="88"/>
      <c r="G20" s="88"/>
      <c r="H20" s="88"/>
      <c r="I20" s="89"/>
      <c r="J20" s="78">
        <v>750000</v>
      </c>
      <c r="K20" s="79"/>
      <c r="L20" s="80"/>
      <c r="M20" s="78">
        <v>750000</v>
      </c>
      <c r="N20" s="79"/>
      <c r="O20" s="80"/>
      <c r="P20" s="78">
        <f t="shared" si="0"/>
        <v>1500000</v>
      </c>
      <c r="Q20" s="79"/>
      <c r="R20" s="79"/>
      <c r="S20" s="79"/>
      <c r="T20" s="79"/>
      <c r="U20" s="80"/>
    </row>
    <row r="21" spans="2:21">
      <c r="B21" s="1">
        <v>6</v>
      </c>
      <c r="C21" s="97" t="s">
        <v>12</v>
      </c>
      <c r="D21" s="88"/>
      <c r="E21" s="88"/>
      <c r="F21" s="88"/>
      <c r="G21" s="88"/>
      <c r="H21" s="88"/>
      <c r="I21" s="89"/>
      <c r="J21" s="78">
        <v>30000</v>
      </c>
      <c r="K21" s="79"/>
      <c r="L21" s="80"/>
      <c r="M21" s="75">
        <v>30000</v>
      </c>
      <c r="N21" s="76"/>
      <c r="O21" s="77"/>
      <c r="P21" s="78">
        <f t="shared" si="0"/>
        <v>60000</v>
      </c>
      <c r="Q21" s="79"/>
      <c r="R21" s="79"/>
      <c r="S21" s="79"/>
      <c r="T21" s="79"/>
      <c r="U21" s="80"/>
    </row>
    <row r="22" spans="2:21">
      <c r="B22" s="1">
        <v>7</v>
      </c>
      <c r="C22" s="97" t="s">
        <v>13</v>
      </c>
      <c r="D22" s="88"/>
      <c r="E22" s="88"/>
      <c r="F22" s="88"/>
      <c r="G22" s="88"/>
      <c r="H22" s="88"/>
      <c r="I22" s="89"/>
      <c r="J22" s="75">
        <f>(J16+J17+J18+J19+J20+J21)*0.22</f>
        <v>222921.60000000001</v>
      </c>
      <c r="K22" s="76"/>
      <c r="L22" s="77"/>
      <c r="M22" s="75">
        <f>(M16+M17+M18+M19+M20+M21)*0.22</f>
        <v>214643</v>
      </c>
      <c r="N22" s="76"/>
      <c r="O22" s="77"/>
      <c r="P22" s="78">
        <f>J22+M22</f>
        <v>437564.6</v>
      </c>
      <c r="Q22" s="79"/>
      <c r="R22" s="79"/>
      <c r="S22" s="79"/>
      <c r="T22" s="79"/>
      <c r="U22" s="80"/>
    </row>
    <row r="23" spans="2:21">
      <c r="B23" s="46" t="s">
        <v>14</v>
      </c>
      <c r="C23" s="52"/>
      <c r="D23" s="52"/>
      <c r="E23" s="52"/>
      <c r="F23" s="52"/>
      <c r="G23" s="52"/>
      <c r="H23" s="52"/>
      <c r="I23" s="53"/>
      <c r="J23" s="65">
        <f>J16+J17+J18+J19+J20+J21+J22</f>
        <v>1236201.6000000001</v>
      </c>
      <c r="K23" s="98"/>
      <c r="L23" s="99"/>
      <c r="M23" s="65">
        <f>M16+M17+M18+M19+M20+M21+M22</f>
        <v>1190293</v>
      </c>
      <c r="N23" s="98"/>
      <c r="O23" s="99"/>
      <c r="P23" s="65">
        <f>P16+P17+P18+P19+P20+P21+P22</f>
        <v>2426494.6</v>
      </c>
      <c r="Q23" s="98"/>
      <c r="R23" s="98"/>
      <c r="S23" s="98"/>
      <c r="T23" s="98"/>
      <c r="U23" s="99"/>
    </row>
    <row r="24" spans="2:21">
      <c r="B24" s="49"/>
      <c r="C24" s="50"/>
      <c r="D24" s="50"/>
      <c r="E24" s="50"/>
      <c r="F24" s="50"/>
      <c r="G24" s="50"/>
      <c r="H24" s="50"/>
      <c r="I24" s="51"/>
      <c r="J24" s="100"/>
      <c r="K24" s="101"/>
      <c r="L24" s="102"/>
      <c r="M24" s="100"/>
      <c r="N24" s="101"/>
      <c r="O24" s="102"/>
      <c r="P24" s="100"/>
      <c r="Q24" s="101"/>
      <c r="R24" s="101"/>
      <c r="S24" s="101"/>
      <c r="T24" s="101"/>
      <c r="U24" s="102"/>
    </row>
    <row r="25" spans="2:21">
      <c r="B25" s="8">
        <v>1</v>
      </c>
      <c r="C25" s="103" t="s">
        <v>15</v>
      </c>
      <c r="D25" s="88"/>
      <c r="E25" s="88"/>
      <c r="F25" s="88"/>
      <c r="G25" s="88"/>
      <c r="H25" s="88"/>
      <c r="I25" s="89"/>
      <c r="J25" s="81"/>
      <c r="K25" s="54"/>
      <c r="L25" s="55"/>
      <c r="M25" s="81"/>
      <c r="N25" s="54"/>
      <c r="O25" s="55"/>
      <c r="P25" s="81"/>
      <c r="Q25" s="54"/>
      <c r="R25" s="54"/>
      <c r="S25" s="54"/>
      <c r="T25" s="54"/>
      <c r="U25" s="55"/>
    </row>
    <row r="26" spans="2:21">
      <c r="B26" s="82"/>
      <c r="C26" s="2">
        <v>1</v>
      </c>
      <c r="D26" s="88" t="s">
        <v>16</v>
      </c>
      <c r="E26" s="88"/>
      <c r="F26" s="88"/>
      <c r="G26" s="88"/>
      <c r="H26" s="88"/>
      <c r="I26" s="89"/>
      <c r="J26" s="78">
        <v>10000</v>
      </c>
      <c r="K26" s="79"/>
      <c r="L26" s="80"/>
      <c r="M26" s="78">
        <v>50000</v>
      </c>
      <c r="N26" s="79"/>
      <c r="O26" s="80"/>
      <c r="P26" s="78">
        <f>J26+M26</f>
        <v>60000</v>
      </c>
      <c r="Q26" s="72"/>
      <c r="R26" s="72"/>
      <c r="S26" s="72"/>
      <c r="T26" s="72"/>
      <c r="U26" s="73"/>
    </row>
    <row r="27" spans="2:21">
      <c r="B27" s="82"/>
      <c r="C27" s="2">
        <v>2</v>
      </c>
      <c r="D27" s="88" t="s">
        <v>17</v>
      </c>
      <c r="E27" s="88"/>
      <c r="F27" s="88"/>
      <c r="G27" s="88"/>
      <c r="H27" s="88"/>
      <c r="I27" s="89"/>
      <c r="J27" s="78">
        <v>10000</v>
      </c>
      <c r="K27" s="79"/>
      <c r="L27" s="80"/>
      <c r="M27" s="78">
        <v>40000</v>
      </c>
      <c r="N27" s="79"/>
      <c r="O27" s="80"/>
      <c r="P27" s="78">
        <f t="shared" ref="P27" si="1">J27+M27</f>
        <v>50000</v>
      </c>
      <c r="Q27" s="72"/>
      <c r="R27" s="72"/>
      <c r="S27" s="72"/>
      <c r="T27" s="72"/>
      <c r="U27" s="73"/>
    </row>
    <row r="28" spans="2:21">
      <c r="B28" s="83"/>
      <c r="C28" s="2">
        <v>3</v>
      </c>
      <c r="D28" s="88" t="s">
        <v>18</v>
      </c>
      <c r="E28" s="88"/>
      <c r="F28" s="88"/>
      <c r="G28" s="88"/>
      <c r="H28" s="88"/>
      <c r="I28" s="89"/>
      <c r="J28" s="78">
        <v>15000</v>
      </c>
      <c r="K28" s="79"/>
      <c r="L28" s="80"/>
      <c r="M28" s="78">
        <v>25000</v>
      </c>
      <c r="N28" s="79"/>
      <c r="O28" s="80"/>
      <c r="P28" s="78">
        <f>J28+M28</f>
        <v>40000</v>
      </c>
      <c r="Q28" s="72"/>
      <c r="R28" s="72"/>
      <c r="S28" s="72"/>
      <c r="T28" s="72"/>
      <c r="U28" s="73"/>
    </row>
    <row r="29" spans="2:21">
      <c r="B29" s="8">
        <v>2</v>
      </c>
      <c r="C29" s="90" t="s">
        <v>19</v>
      </c>
      <c r="D29" s="32"/>
      <c r="E29" s="32"/>
      <c r="F29" s="32"/>
      <c r="G29" s="32"/>
      <c r="H29" s="32"/>
      <c r="I29" s="33"/>
      <c r="J29" s="81"/>
      <c r="K29" s="54"/>
      <c r="L29" s="55"/>
      <c r="M29" s="81"/>
      <c r="N29" s="54"/>
      <c r="O29" s="55"/>
      <c r="P29" s="81"/>
      <c r="Q29" s="54"/>
      <c r="R29" s="54"/>
      <c r="S29" s="54"/>
      <c r="T29" s="54"/>
      <c r="U29" s="55"/>
    </row>
    <row r="30" spans="2:21">
      <c r="B30" s="82"/>
      <c r="C30" s="2">
        <v>1</v>
      </c>
      <c r="D30" s="88" t="s">
        <v>20</v>
      </c>
      <c r="E30" s="88"/>
      <c r="F30" s="88"/>
      <c r="G30" s="88"/>
      <c r="H30" s="88"/>
      <c r="I30" s="89"/>
      <c r="J30" s="78">
        <v>350000</v>
      </c>
      <c r="K30" s="79"/>
      <c r="L30" s="80"/>
      <c r="M30" s="78">
        <v>400000</v>
      </c>
      <c r="N30" s="79"/>
      <c r="O30" s="80"/>
      <c r="P30" s="78">
        <f>J30+M30</f>
        <v>750000</v>
      </c>
      <c r="Q30" s="72"/>
      <c r="R30" s="72"/>
      <c r="S30" s="72"/>
      <c r="T30" s="72"/>
      <c r="U30" s="73"/>
    </row>
    <row r="31" spans="2:21">
      <c r="B31" s="82"/>
      <c r="C31" s="2">
        <v>2</v>
      </c>
      <c r="D31" s="88" t="s">
        <v>21</v>
      </c>
      <c r="E31" s="88"/>
      <c r="F31" s="88"/>
      <c r="G31" s="88"/>
      <c r="H31" s="88"/>
      <c r="I31" s="89"/>
      <c r="J31" s="78">
        <v>500000</v>
      </c>
      <c r="K31" s="79"/>
      <c r="L31" s="80"/>
      <c r="M31" s="78">
        <v>375000</v>
      </c>
      <c r="N31" s="79"/>
      <c r="O31" s="80"/>
      <c r="P31" s="78">
        <f t="shared" ref="P31:P32" si="2">J31+M31</f>
        <v>875000</v>
      </c>
      <c r="Q31" s="72"/>
      <c r="R31" s="72"/>
      <c r="S31" s="72"/>
      <c r="T31" s="72"/>
      <c r="U31" s="73"/>
    </row>
    <row r="32" spans="2:21">
      <c r="B32" s="83"/>
      <c r="C32" s="2">
        <v>3</v>
      </c>
      <c r="D32" s="88" t="s">
        <v>22</v>
      </c>
      <c r="E32" s="88"/>
      <c r="F32" s="88"/>
      <c r="G32" s="88"/>
      <c r="H32" s="88"/>
      <c r="I32" s="89"/>
      <c r="J32" s="78">
        <v>23000</v>
      </c>
      <c r="K32" s="79"/>
      <c r="L32" s="80"/>
      <c r="M32" s="78">
        <v>75000</v>
      </c>
      <c r="N32" s="79"/>
      <c r="O32" s="80"/>
      <c r="P32" s="78">
        <f t="shared" si="2"/>
        <v>98000</v>
      </c>
      <c r="Q32" s="72"/>
      <c r="R32" s="72"/>
      <c r="S32" s="72"/>
      <c r="T32" s="72"/>
      <c r="U32" s="73"/>
    </row>
    <row r="33" spans="2:21">
      <c r="B33" s="8">
        <v>3</v>
      </c>
      <c r="C33" s="84" t="s">
        <v>23</v>
      </c>
      <c r="D33" s="29"/>
      <c r="E33" s="29"/>
      <c r="F33" s="29"/>
      <c r="G33" s="29"/>
      <c r="H33" s="29"/>
      <c r="I33" s="30"/>
      <c r="J33" s="65">
        <v>500000</v>
      </c>
      <c r="K33" s="98"/>
      <c r="L33" s="99"/>
      <c r="M33" s="65">
        <v>400000</v>
      </c>
      <c r="N33" s="98"/>
      <c r="O33" s="99"/>
      <c r="P33" s="65">
        <f>J33+M33</f>
        <v>900000</v>
      </c>
      <c r="Q33" s="66"/>
      <c r="R33" s="66"/>
      <c r="S33" s="66"/>
      <c r="T33" s="66"/>
      <c r="U33" s="67"/>
    </row>
    <row r="34" spans="2:21">
      <c r="B34" s="10"/>
      <c r="C34" s="85"/>
      <c r="D34" s="86"/>
      <c r="E34" s="86"/>
      <c r="F34" s="86"/>
      <c r="G34" s="86"/>
      <c r="H34" s="86"/>
      <c r="I34" s="87"/>
      <c r="J34" s="100"/>
      <c r="K34" s="101"/>
      <c r="L34" s="102"/>
      <c r="M34" s="100"/>
      <c r="N34" s="101"/>
      <c r="O34" s="102"/>
      <c r="P34" s="68"/>
      <c r="Q34" s="69"/>
      <c r="R34" s="69"/>
      <c r="S34" s="69"/>
      <c r="T34" s="69"/>
      <c r="U34" s="70"/>
    </row>
    <row r="35" spans="2:21">
      <c r="B35" s="46" t="s">
        <v>24</v>
      </c>
      <c r="C35" s="52"/>
      <c r="D35" s="52"/>
      <c r="E35" s="52"/>
      <c r="F35" s="52"/>
      <c r="G35" s="52"/>
      <c r="H35" s="52"/>
      <c r="I35" s="53"/>
      <c r="J35" s="65">
        <f>J26+J28+J30+J31+J32+J33</f>
        <v>1398000</v>
      </c>
      <c r="K35" s="66"/>
      <c r="L35" s="67"/>
      <c r="M35" s="65">
        <f>M26+M28+M30+M31+M32+M33</f>
        <v>1325000</v>
      </c>
      <c r="N35" s="66"/>
      <c r="O35" s="67"/>
      <c r="P35" s="65">
        <f>J35+M35</f>
        <v>2723000</v>
      </c>
      <c r="Q35" s="66"/>
      <c r="R35" s="66"/>
      <c r="S35" s="66"/>
      <c r="T35" s="66"/>
      <c r="U35" s="67"/>
    </row>
    <row r="36" spans="2:21" ht="15" customHeight="1">
      <c r="B36" s="49"/>
      <c r="C36" s="50"/>
      <c r="D36" s="50"/>
      <c r="E36" s="50"/>
      <c r="F36" s="50"/>
      <c r="G36" s="50"/>
      <c r="H36" s="50"/>
      <c r="I36" s="51"/>
      <c r="J36" s="68"/>
      <c r="K36" s="69"/>
      <c r="L36" s="70"/>
      <c r="M36" s="68"/>
      <c r="N36" s="69"/>
      <c r="O36" s="70"/>
      <c r="P36" s="68"/>
      <c r="Q36" s="69"/>
      <c r="R36" s="69"/>
      <c r="S36" s="69"/>
      <c r="T36" s="69"/>
      <c r="U36" s="70"/>
    </row>
    <row r="38" spans="2:21" ht="15" customHeight="1">
      <c r="B38" s="113" t="s">
        <v>25</v>
      </c>
      <c r="C38" s="113"/>
      <c r="D38" s="113"/>
      <c r="E38" s="113"/>
      <c r="F38" s="113"/>
      <c r="G38" s="113"/>
      <c r="H38" s="113"/>
      <c r="I38" s="113"/>
      <c r="J38" s="34" t="s">
        <v>3</v>
      </c>
      <c r="K38" s="34"/>
      <c r="L38" s="34"/>
      <c r="M38" s="34"/>
      <c r="N38" s="34"/>
      <c r="O38" s="35"/>
      <c r="P38" s="12"/>
      <c r="Q38" s="13"/>
      <c r="R38" s="13"/>
      <c r="S38" s="13"/>
      <c r="T38" s="13"/>
      <c r="U38" s="14"/>
    </row>
    <row r="39" spans="2:21" ht="15" customHeight="1">
      <c r="B39" s="113"/>
      <c r="C39" s="113"/>
      <c r="D39" s="113"/>
      <c r="E39" s="113"/>
      <c r="F39" s="113"/>
      <c r="G39" s="113"/>
      <c r="H39" s="113"/>
      <c r="I39" s="113"/>
      <c r="J39" s="36"/>
      <c r="K39" s="36"/>
      <c r="L39" s="36"/>
      <c r="M39" s="36"/>
      <c r="N39" s="36"/>
      <c r="O39" s="37"/>
      <c r="P39" s="15"/>
      <c r="Q39" s="16"/>
      <c r="R39" s="16"/>
      <c r="S39" s="16"/>
      <c r="T39" s="16"/>
      <c r="U39" s="17"/>
    </row>
    <row r="40" spans="2:21" ht="15" customHeight="1">
      <c r="B40" s="113"/>
      <c r="C40" s="113"/>
      <c r="D40" s="113"/>
      <c r="E40" s="113"/>
      <c r="F40" s="113"/>
      <c r="G40" s="113"/>
      <c r="H40" s="113"/>
      <c r="I40" s="113"/>
      <c r="J40" s="34" t="s">
        <v>4</v>
      </c>
      <c r="K40" s="34"/>
      <c r="L40" s="35"/>
      <c r="M40" s="38" t="s">
        <v>5</v>
      </c>
      <c r="N40" s="39"/>
      <c r="O40" s="40"/>
      <c r="P40" s="12" t="s">
        <v>26</v>
      </c>
      <c r="Q40" s="13"/>
      <c r="R40" s="14"/>
      <c r="S40" s="18" t="s">
        <v>27</v>
      </c>
      <c r="T40" s="19"/>
      <c r="U40" s="20"/>
    </row>
    <row r="41" spans="2:21" ht="15" customHeight="1">
      <c r="B41" s="113"/>
      <c r="C41" s="113"/>
      <c r="D41" s="113"/>
      <c r="E41" s="113"/>
      <c r="F41" s="113"/>
      <c r="G41" s="113"/>
      <c r="H41" s="113"/>
      <c r="I41" s="113"/>
      <c r="J41" s="36"/>
      <c r="K41" s="36"/>
      <c r="L41" s="37"/>
      <c r="M41" s="41"/>
      <c r="N41" s="42"/>
      <c r="O41" s="43"/>
      <c r="P41" s="15"/>
      <c r="Q41" s="16"/>
      <c r="R41" s="17"/>
      <c r="S41" s="141"/>
      <c r="T41" s="142"/>
      <c r="U41" s="143"/>
    </row>
    <row r="42" spans="2:21">
      <c r="B42" s="139"/>
      <c r="C42" s="24" t="s">
        <v>28</v>
      </c>
      <c r="D42" s="24"/>
      <c r="E42" s="24"/>
      <c r="F42" s="24"/>
      <c r="G42" s="24"/>
      <c r="H42" s="24"/>
      <c r="I42" s="24"/>
      <c r="J42" s="11">
        <v>196800</v>
      </c>
      <c r="K42" s="11"/>
      <c r="L42" s="11"/>
      <c r="M42" s="11">
        <v>493500</v>
      </c>
      <c r="N42" s="11"/>
      <c r="O42" s="11"/>
      <c r="P42" s="11">
        <v>987000</v>
      </c>
      <c r="Q42" s="11"/>
      <c r="R42" s="11"/>
      <c r="S42" s="11">
        <v>1480000</v>
      </c>
      <c r="T42" s="11"/>
      <c r="U42" s="11"/>
    </row>
    <row r="43" spans="2:21">
      <c r="B43" s="139"/>
      <c r="C43" s="138" t="s">
        <v>29</v>
      </c>
      <c r="D43" s="24"/>
      <c r="E43" s="24"/>
      <c r="F43" s="24"/>
      <c r="G43" s="24"/>
      <c r="H43" s="24"/>
      <c r="I43" s="24"/>
      <c r="J43" s="140">
        <v>3936</v>
      </c>
      <c r="K43" s="24"/>
      <c r="L43" s="24"/>
      <c r="M43" s="74">
        <v>4935</v>
      </c>
      <c r="N43" s="74"/>
      <c r="O43" s="74"/>
      <c r="P43" s="74">
        <v>19750</v>
      </c>
      <c r="Q43" s="74"/>
      <c r="R43" s="74"/>
      <c r="S43" s="74">
        <v>44400</v>
      </c>
      <c r="T43" s="74"/>
      <c r="U43" s="74"/>
    </row>
    <row r="44" spans="2:21">
      <c r="B44" s="139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74"/>
      <c r="N44" s="74"/>
      <c r="O44" s="74"/>
      <c r="P44" s="74"/>
      <c r="Q44" s="74"/>
      <c r="R44" s="74"/>
      <c r="S44" s="74"/>
      <c r="T44" s="74"/>
      <c r="U44" s="74"/>
    </row>
    <row r="45" spans="2:21">
      <c r="B45" s="104" t="s">
        <v>30</v>
      </c>
      <c r="C45" s="105" t="s">
        <v>31</v>
      </c>
      <c r="D45" s="105"/>
      <c r="E45" s="105"/>
      <c r="F45" s="105"/>
      <c r="G45" s="105"/>
      <c r="H45" s="105"/>
      <c r="I45" s="105"/>
      <c r="J45" s="11">
        <f>J42-J43</f>
        <v>192864</v>
      </c>
      <c r="K45" s="24"/>
      <c r="L45" s="24"/>
      <c r="M45" s="93">
        <f>M42-M43</f>
        <v>488565</v>
      </c>
      <c r="N45" s="74"/>
      <c r="O45" s="74"/>
      <c r="P45" s="93">
        <f>P42-P43</f>
        <v>967250</v>
      </c>
      <c r="Q45" s="74"/>
      <c r="R45" s="74"/>
      <c r="S45" s="93">
        <f>S42-S43</f>
        <v>1435600</v>
      </c>
      <c r="T45" s="74"/>
      <c r="U45" s="74"/>
    </row>
    <row r="46" spans="2:21">
      <c r="B46" s="8"/>
      <c r="C46" s="106"/>
      <c r="D46" s="106"/>
      <c r="E46" s="106"/>
      <c r="F46" s="106"/>
      <c r="G46" s="106"/>
      <c r="H46" s="106"/>
      <c r="I46" s="106"/>
      <c r="J46" s="24"/>
      <c r="K46" s="24"/>
      <c r="L46" s="24"/>
      <c r="M46" s="74"/>
      <c r="N46" s="74"/>
      <c r="O46" s="74"/>
      <c r="P46" s="74"/>
      <c r="Q46" s="74"/>
      <c r="R46" s="74"/>
      <c r="S46" s="74"/>
      <c r="T46" s="74"/>
      <c r="U46" s="74"/>
    </row>
    <row r="47" spans="2:21">
      <c r="B47" s="139"/>
      <c r="C47" s="149" t="s">
        <v>32</v>
      </c>
      <c r="D47" s="105"/>
      <c r="E47" s="105"/>
      <c r="F47" s="105"/>
      <c r="G47" s="105"/>
      <c r="H47" s="105"/>
      <c r="I47" s="105"/>
      <c r="J47" s="150">
        <f>J45/J42</f>
        <v>0.98</v>
      </c>
      <c r="K47" s="24"/>
      <c r="L47" s="24"/>
      <c r="M47" s="94">
        <f>M45/M42</f>
        <v>0.99</v>
      </c>
      <c r="N47" s="74"/>
      <c r="O47" s="74"/>
      <c r="P47" s="94">
        <f>P45/P42</f>
        <v>0.9799898682877406</v>
      </c>
      <c r="Q47" s="74"/>
      <c r="R47" s="74"/>
      <c r="S47" s="94">
        <f>S45/S42</f>
        <v>0.97</v>
      </c>
      <c r="T47" s="74"/>
      <c r="U47" s="74"/>
    </row>
    <row r="48" spans="2:21">
      <c r="B48" s="139"/>
      <c r="C48" s="149"/>
      <c r="D48" s="105"/>
      <c r="E48" s="105"/>
      <c r="F48" s="105"/>
      <c r="G48" s="105"/>
      <c r="H48" s="105"/>
      <c r="I48" s="105"/>
      <c r="J48" s="73"/>
      <c r="K48" s="24"/>
      <c r="L48" s="24"/>
      <c r="M48" s="92"/>
      <c r="N48" s="74"/>
      <c r="O48" s="74"/>
      <c r="P48" s="92"/>
      <c r="Q48" s="74"/>
      <c r="R48" s="74"/>
      <c r="S48" s="92"/>
      <c r="T48" s="74"/>
      <c r="U48" s="74"/>
    </row>
    <row r="49" spans="2:21">
      <c r="B49" s="139"/>
      <c r="C49" s="136" t="s">
        <v>33</v>
      </c>
      <c r="D49" s="137"/>
      <c r="E49" s="137"/>
      <c r="F49" s="137"/>
      <c r="G49" s="137"/>
      <c r="H49" s="137"/>
      <c r="I49" s="137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2:21">
      <c r="B50" s="139"/>
      <c r="C50" s="2">
        <v>1</v>
      </c>
      <c r="D50" s="71" t="s">
        <v>9</v>
      </c>
      <c r="E50" s="72"/>
      <c r="F50" s="72"/>
      <c r="G50" s="72"/>
      <c r="H50" s="72"/>
      <c r="I50" s="73"/>
      <c r="J50" s="75"/>
      <c r="K50" s="76"/>
      <c r="L50" s="77"/>
      <c r="M50" s="75"/>
      <c r="N50" s="76"/>
      <c r="O50" s="77"/>
      <c r="P50" s="24"/>
      <c r="Q50" s="24"/>
      <c r="R50" s="24"/>
      <c r="S50" s="24"/>
      <c r="T50" s="24"/>
      <c r="U50" s="24"/>
    </row>
    <row r="51" spans="2:21">
      <c r="B51" s="139"/>
      <c r="C51" s="2">
        <v>2</v>
      </c>
      <c r="D51" s="71" t="s">
        <v>34</v>
      </c>
      <c r="E51" s="72"/>
      <c r="F51" s="72"/>
      <c r="G51" s="72"/>
      <c r="H51" s="72"/>
      <c r="I51" s="73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2:21">
      <c r="B52" s="139"/>
      <c r="C52" s="2">
        <v>3</v>
      </c>
      <c r="D52" s="71" t="s">
        <v>35</v>
      </c>
      <c r="E52" s="72"/>
      <c r="F52" s="72"/>
      <c r="G52" s="72"/>
      <c r="H52" s="72"/>
      <c r="I52" s="73"/>
      <c r="J52" s="75">
        <v>750000</v>
      </c>
      <c r="K52" s="76"/>
      <c r="L52" s="77"/>
      <c r="M52" s="75">
        <v>750000</v>
      </c>
      <c r="N52" s="76"/>
      <c r="O52" s="77"/>
      <c r="P52" s="24">
        <v>750000</v>
      </c>
      <c r="Q52" s="24"/>
      <c r="R52" s="24"/>
      <c r="S52" s="24">
        <v>750000</v>
      </c>
      <c r="T52" s="24"/>
      <c r="U52" s="24"/>
    </row>
    <row r="53" spans="2:21">
      <c r="B53" s="139"/>
      <c r="C53" s="2">
        <v>4</v>
      </c>
      <c r="D53" s="71" t="s">
        <v>36</v>
      </c>
      <c r="E53" s="72"/>
      <c r="F53" s="72"/>
      <c r="G53" s="72"/>
      <c r="H53" s="72"/>
      <c r="I53" s="73"/>
      <c r="J53" s="75">
        <v>60500</v>
      </c>
      <c r="K53" s="76"/>
      <c r="L53" s="77"/>
      <c r="M53" s="75">
        <v>60900</v>
      </c>
      <c r="N53" s="76"/>
      <c r="O53" s="77"/>
      <c r="P53" s="24">
        <v>65400</v>
      </c>
      <c r="Q53" s="24"/>
      <c r="R53" s="24"/>
      <c r="S53" s="24">
        <v>68850</v>
      </c>
      <c r="T53" s="24"/>
      <c r="U53" s="24"/>
    </row>
    <row r="54" spans="2:21">
      <c r="B54" s="139"/>
      <c r="C54" s="2">
        <v>5</v>
      </c>
      <c r="D54" s="71" t="s">
        <v>37</v>
      </c>
      <c r="E54" s="72"/>
      <c r="F54" s="72"/>
      <c r="G54" s="72"/>
      <c r="H54" s="72"/>
      <c r="I54" s="73"/>
      <c r="J54" s="144">
        <v>-5000</v>
      </c>
      <c r="K54" s="145"/>
      <c r="L54" s="134"/>
      <c r="M54" s="144">
        <v>-7500</v>
      </c>
      <c r="N54" s="145"/>
      <c r="O54" s="134"/>
      <c r="P54" s="144">
        <v>-17500</v>
      </c>
      <c r="Q54" s="145"/>
      <c r="R54" s="134"/>
      <c r="S54" s="146">
        <v>-20000</v>
      </c>
      <c r="T54" s="147"/>
      <c r="U54" s="148"/>
    </row>
    <row r="55" spans="2:21">
      <c r="B55" s="139"/>
      <c r="C55" s="2">
        <v>6</v>
      </c>
      <c r="D55" s="71" t="s">
        <v>38</v>
      </c>
      <c r="E55" s="72"/>
      <c r="F55" s="72"/>
      <c r="G55" s="72"/>
      <c r="H55" s="72"/>
      <c r="I55" s="73"/>
      <c r="J55" s="75"/>
      <c r="K55" s="91"/>
      <c r="L55" s="92"/>
      <c r="M55" s="75"/>
      <c r="N55" s="91"/>
      <c r="O55" s="92"/>
      <c r="P55" s="75"/>
      <c r="Q55" s="91"/>
      <c r="R55" s="92"/>
      <c r="S55" s="75"/>
      <c r="T55" s="91"/>
      <c r="U55" s="92"/>
    </row>
    <row r="56" spans="2:21">
      <c r="B56" s="139"/>
      <c r="C56" s="2">
        <v>7</v>
      </c>
      <c r="D56" s="71" t="s">
        <v>39</v>
      </c>
      <c r="E56" s="72"/>
      <c r="F56" s="72"/>
      <c r="G56" s="72"/>
      <c r="H56" s="72"/>
      <c r="I56" s="73"/>
      <c r="J56" s="76">
        <v>86799</v>
      </c>
      <c r="K56" s="91"/>
      <c r="L56" s="92"/>
      <c r="M56" s="75">
        <v>85927</v>
      </c>
      <c r="N56" s="76"/>
      <c r="O56" s="77"/>
      <c r="P56" s="75">
        <v>85459</v>
      </c>
      <c r="Q56" s="91"/>
      <c r="R56" s="92"/>
      <c r="S56" s="75">
        <v>85459</v>
      </c>
      <c r="T56" s="91"/>
      <c r="U56" s="92"/>
    </row>
    <row r="57" spans="2:21">
      <c r="B57" s="104" t="s">
        <v>40</v>
      </c>
      <c r="C57" s="105" t="s">
        <v>41</v>
      </c>
      <c r="D57" s="105"/>
      <c r="E57" s="105"/>
      <c r="F57" s="105"/>
      <c r="G57" s="105"/>
      <c r="H57" s="105"/>
      <c r="I57" s="105"/>
      <c r="J57" s="11">
        <v>907216</v>
      </c>
      <c r="K57" s="11"/>
      <c r="L57" s="11"/>
      <c r="M57" s="11">
        <v>918270</v>
      </c>
      <c r="N57" s="11"/>
      <c r="O57" s="11"/>
      <c r="P57" s="11">
        <v>942750</v>
      </c>
      <c r="Q57" s="11"/>
      <c r="R57" s="11"/>
      <c r="S57" s="11">
        <v>959550</v>
      </c>
      <c r="T57" s="11"/>
      <c r="U57" s="11"/>
    </row>
    <row r="58" spans="2:21">
      <c r="B58" s="8"/>
      <c r="C58" s="106"/>
      <c r="D58" s="106"/>
      <c r="E58" s="106"/>
      <c r="F58" s="106"/>
      <c r="G58" s="106"/>
      <c r="H58" s="106"/>
      <c r="I58" s="106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2:21">
      <c r="B59" s="131"/>
      <c r="C59" s="105" t="s">
        <v>42</v>
      </c>
      <c r="D59" s="105"/>
      <c r="E59" s="105"/>
      <c r="F59" s="105"/>
      <c r="G59" s="105"/>
      <c r="H59" s="105"/>
      <c r="I59" s="105"/>
      <c r="J59" s="132">
        <f>J45-J57</f>
        <v>-714352</v>
      </c>
      <c r="K59" s="133"/>
      <c r="L59" s="133"/>
      <c r="M59" s="134">
        <f>M45-M57</f>
        <v>-429705</v>
      </c>
      <c r="N59" s="135"/>
      <c r="O59" s="135"/>
      <c r="P59" s="134">
        <f>P45-P57</f>
        <v>24500</v>
      </c>
      <c r="Q59" s="135"/>
      <c r="R59" s="135"/>
      <c r="S59" s="134">
        <f>S45-S57</f>
        <v>476050</v>
      </c>
      <c r="T59" s="135"/>
      <c r="U59" s="135"/>
    </row>
    <row r="60" spans="2:21">
      <c r="B60" s="131"/>
      <c r="C60" s="105"/>
      <c r="D60" s="105"/>
      <c r="E60" s="105"/>
      <c r="F60" s="105"/>
      <c r="G60" s="105"/>
      <c r="H60" s="105"/>
      <c r="I60" s="105"/>
      <c r="J60" s="132"/>
      <c r="K60" s="133"/>
      <c r="L60" s="133"/>
      <c r="M60" s="134"/>
      <c r="N60" s="135"/>
      <c r="O60" s="135"/>
      <c r="P60" s="134"/>
      <c r="Q60" s="135"/>
      <c r="R60" s="135"/>
      <c r="S60" s="134"/>
      <c r="T60" s="135"/>
      <c r="U60" s="135"/>
    </row>
    <row r="61" spans="2:21">
      <c r="B61" s="131"/>
      <c r="C61" s="136" t="s">
        <v>43</v>
      </c>
      <c r="D61" s="137"/>
      <c r="E61" s="137"/>
      <c r="F61" s="137"/>
      <c r="G61" s="137"/>
      <c r="H61" s="137"/>
      <c r="I61" s="137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2:21">
      <c r="B62" s="131"/>
      <c r="C62" s="2">
        <v>1</v>
      </c>
      <c r="D62" s="71" t="s">
        <v>44</v>
      </c>
      <c r="E62" s="72"/>
      <c r="F62" s="72"/>
      <c r="G62" s="72"/>
      <c r="H62" s="72"/>
      <c r="I62" s="73"/>
      <c r="J62" s="74" t="s">
        <v>45</v>
      </c>
      <c r="K62" s="74"/>
      <c r="L62" s="74"/>
      <c r="M62" s="74" t="s">
        <v>45</v>
      </c>
      <c r="N62" s="74"/>
      <c r="O62" s="74"/>
      <c r="P62" s="74" t="s">
        <v>45</v>
      </c>
      <c r="Q62" s="74"/>
      <c r="R62" s="74"/>
      <c r="S62" s="74" t="s">
        <v>45</v>
      </c>
      <c r="T62" s="74"/>
      <c r="U62" s="74"/>
    </row>
    <row r="63" spans="2:21">
      <c r="B63" s="131"/>
      <c r="C63" s="2">
        <v>2</v>
      </c>
      <c r="D63" s="71" t="s">
        <v>46</v>
      </c>
      <c r="E63" s="72"/>
      <c r="F63" s="72"/>
      <c r="G63" s="72"/>
      <c r="H63" s="72"/>
      <c r="I63" s="73"/>
      <c r="J63" s="74" t="s">
        <v>45</v>
      </c>
      <c r="K63" s="74"/>
      <c r="L63" s="74"/>
      <c r="M63" s="74" t="s">
        <v>45</v>
      </c>
      <c r="N63" s="74"/>
      <c r="O63" s="74"/>
      <c r="P63" s="74" t="s">
        <v>45</v>
      </c>
      <c r="Q63" s="74"/>
      <c r="R63" s="74"/>
      <c r="S63" s="74" t="s">
        <v>45</v>
      </c>
      <c r="T63" s="74"/>
      <c r="U63" s="74"/>
    </row>
    <row r="64" spans="2:21">
      <c r="B64" s="131"/>
      <c r="C64" s="2">
        <v>3</v>
      </c>
      <c r="D64" s="71" t="s">
        <v>47</v>
      </c>
      <c r="E64" s="72"/>
      <c r="F64" s="72"/>
      <c r="G64" s="72"/>
      <c r="H64" s="72"/>
      <c r="I64" s="73"/>
      <c r="J64" s="24" t="s">
        <v>45</v>
      </c>
      <c r="K64" s="24"/>
      <c r="L64" s="24"/>
      <c r="M64" s="74" t="s">
        <v>45</v>
      </c>
      <c r="N64" s="74"/>
      <c r="O64" s="74"/>
      <c r="P64" s="74" t="s">
        <v>45</v>
      </c>
      <c r="Q64" s="74"/>
      <c r="R64" s="74"/>
      <c r="S64" s="74" t="s">
        <v>45</v>
      </c>
      <c r="T64" s="74"/>
      <c r="U64" s="74"/>
    </row>
    <row r="65" spans="2:21">
      <c r="B65" s="131"/>
      <c r="C65" s="2">
        <v>4</v>
      </c>
      <c r="D65" s="71" t="s">
        <v>48</v>
      </c>
      <c r="E65" s="72"/>
      <c r="F65" s="72"/>
      <c r="G65" s="72"/>
      <c r="H65" s="72"/>
      <c r="I65" s="73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2:21">
      <c r="B66" s="8" t="s">
        <v>49</v>
      </c>
      <c r="C66" s="105" t="s">
        <v>50</v>
      </c>
      <c r="D66" s="105"/>
      <c r="E66" s="105"/>
      <c r="F66" s="105"/>
      <c r="G66" s="105"/>
      <c r="H66" s="105"/>
      <c r="I66" s="105"/>
      <c r="J66" s="11">
        <v>0</v>
      </c>
      <c r="K66" s="11"/>
      <c r="L66" s="11"/>
      <c r="M66" s="11">
        <v>0</v>
      </c>
      <c r="N66" s="11"/>
      <c r="O66" s="11"/>
      <c r="P66" s="11">
        <v>0</v>
      </c>
      <c r="Q66" s="11"/>
      <c r="R66" s="11"/>
      <c r="S66" s="11">
        <v>0</v>
      </c>
      <c r="T66" s="11"/>
      <c r="U66" s="11"/>
    </row>
    <row r="67" spans="2:21">
      <c r="B67" s="10"/>
      <c r="C67" s="105"/>
      <c r="D67" s="105"/>
      <c r="E67" s="105"/>
      <c r="F67" s="105"/>
      <c r="G67" s="105"/>
      <c r="H67" s="105"/>
      <c r="I67" s="105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2:21">
      <c r="B68" s="8" t="s">
        <v>51</v>
      </c>
      <c r="C68" s="105" t="s">
        <v>52</v>
      </c>
      <c r="D68" s="105"/>
      <c r="E68" s="105"/>
      <c r="F68" s="105"/>
      <c r="G68" s="105"/>
      <c r="H68" s="105"/>
      <c r="I68" s="105"/>
      <c r="J68" s="11">
        <v>0</v>
      </c>
      <c r="K68" s="11"/>
      <c r="L68" s="11"/>
      <c r="M68" s="11">
        <v>0</v>
      </c>
      <c r="N68" s="11"/>
      <c r="O68" s="11"/>
      <c r="P68" s="11">
        <v>0</v>
      </c>
      <c r="Q68" s="11"/>
      <c r="R68" s="11"/>
      <c r="S68" s="11">
        <v>0</v>
      </c>
      <c r="T68" s="11"/>
      <c r="U68" s="11"/>
    </row>
    <row r="69" spans="2:21">
      <c r="B69" s="10"/>
      <c r="C69" s="105"/>
      <c r="D69" s="105"/>
      <c r="E69" s="105"/>
      <c r="F69" s="105"/>
      <c r="G69" s="105"/>
      <c r="H69" s="105"/>
      <c r="I69" s="105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2:21">
      <c r="B70" s="131"/>
      <c r="C70" s="105" t="s">
        <v>53</v>
      </c>
      <c r="D70" s="105"/>
      <c r="E70" s="105"/>
      <c r="F70" s="105"/>
      <c r="G70" s="105"/>
      <c r="H70" s="105"/>
      <c r="I70" s="105"/>
      <c r="J70" s="11">
        <v>0</v>
      </c>
      <c r="K70" s="11"/>
      <c r="L70" s="11"/>
      <c r="M70" s="11">
        <v>0</v>
      </c>
      <c r="N70" s="11"/>
      <c r="O70" s="11"/>
      <c r="P70" s="11">
        <v>0</v>
      </c>
      <c r="Q70" s="11"/>
      <c r="R70" s="11"/>
      <c r="S70" s="11">
        <v>0</v>
      </c>
      <c r="T70" s="11"/>
      <c r="U70" s="11"/>
    </row>
    <row r="71" spans="2:21">
      <c r="B71" s="131"/>
      <c r="C71" s="105"/>
      <c r="D71" s="105"/>
      <c r="E71" s="105"/>
      <c r="F71" s="105"/>
      <c r="G71" s="105"/>
      <c r="H71" s="105"/>
      <c r="I71" s="105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3" spans="2:21" ht="15" customHeight="1">
      <c r="B73" s="95" t="s">
        <v>54</v>
      </c>
      <c r="C73" s="123"/>
      <c r="D73" s="123"/>
      <c r="E73" s="123"/>
      <c r="F73" s="123"/>
      <c r="G73" s="123"/>
      <c r="H73" s="123"/>
      <c r="I73" s="124"/>
      <c r="J73" s="95" t="s">
        <v>55</v>
      </c>
      <c r="K73" s="34"/>
      <c r="L73" s="34"/>
      <c r="M73" s="34"/>
      <c r="N73" s="34"/>
      <c r="O73" s="34"/>
      <c r="P73" s="34"/>
      <c r="Q73" s="34"/>
      <c r="R73" s="35"/>
      <c r="S73" s="12" t="s">
        <v>56</v>
      </c>
      <c r="T73" s="13"/>
      <c r="U73" s="14"/>
    </row>
    <row r="74" spans="2:21">
      <c r="B74" s="125"/>
      <c r="C74" s="126"/>
      <c r="D74" s="126"/>
      <c r="E74" s="126"/>
      <c r="F74" s="126"/>
      <c r="G74" s="126"/>
      <c r="H74" s="126"/>
      <c r="I74" s="127"/>
      <c r="J74" s="96"/>
      <c r="K74" s="36"/>
      <c r="L74" s="36"/>
      <c r="M74" s="36"/>
      <c r="N74" s="36"/>
      <c r="O74" s="36"/>
      <c r="P74" s="36"/>
      <c r="Q74" s="36"/>
      <c r="R74" s="37"/>
      <c r="S74" s="15"/>
      <c r="T74" s="16"/>
      <c r="U74" s="17"/>
    </row>
    <row r="75" spans="2:21">
      <c r="B75" s="24" t="s">
        <v>45</v>
      </c>
      <c r="C75" s="24"/>
      <c r="D75" s="24"/>
      <c r="E75" s="24"/>
      <c r="F75" s="24"/>
      <c r="G75" s="24"/>
      <c r="H75" s="24"/>
      <c r="I75" s="24"/>
      <c r="J75" s="24" t="s">
        <v>45</v>
      </c>
      <c r="K75" s="24"/>
      <c r="L75" s="24"/>
      <c r="M75" s="24"/>
      <c r="N75" s="24"/>
      <c r="O75" s="24"/>
      <c r="P75" s="24"/>
      <c r="Q75" s="24"/>
      <c r="R75" s="24"/>
      <c r="S75" s="11">
        <v>0</v>
      </c>
      <c r="T75" s="11"/>
      <c r="U75" s="11"/>
    </row>
    <row r="76" spans="2:21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11"/>
      <c r="T76" s="11"/>
      <c r="U76" s="11"/>
    </row>
    <row r="77" spans="2:21">
      <c r="B77" s="128" t="s">
        <v>57</v>
      </c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1">
        <v>0</v>
      </c>
      <c r="T77" s="11"/>
      <c r="U77" s="11"/>
    </row>
    <row r="78" spans="2:21"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1"/>
      <c r="T78" s="11"/>
      <c r="U78" s="11"/>
    </row>
    <row r="80" spans="2:21" ht="15" customHeight="1">
      <c r="B80" s="44" t="s">
        <v>58</v>
      </c>
      <c r="C80" s="44"/>
      <c r="D80" s="44"/>
      <c r="E80" s="44"/>
      <c r="F80" s="44"/>
      <c r="G80" s="44"/>
      <c r="H80" s="44"/>
      <c r="I80" s="44"/>
      <c r="J80" s="34" t="s">
        <v>3</v>
      </c>
      <c r="K80" s="34"/>
      <c r="L80" s="34"/>
      <c r="M80" s="34"/>
      <c r="N80" s="34"/>
      <c r="O80" s="35"/>
      <c r="P80" s="12"/>
      <c r="Q80" s="13"/>
      <c r="R80" s="13"/>
      <c r="S80" s="13"/>
      <c r="T80" s="13"/>
      <c r="U80" s="14"/>
    </row>
    <row r="81" spans="2:21" ht="15" customHeight="1">
      <c r="B81" s="44"/>
      <c r="C81" s="44"/>
      <c r="D81" s="44"/>
      <c r="E81" s="44"/>
      <c r="F81" s="44"/>
      <c r="G81" s="44"/>
      <c r="H81" s="44"/>
      <c r="I81" s="44"/>
      <c r="J81" s="36"/>
      <c r="K81" s="36"/>
      <c r="L81" s="36"/>
      <c r="M81" s="36"/>
      <c r="N81" s="36"/>
      <c r="O81" s="37"/>
      <c r="P81" s="15"/>
      <c r="Q81" s="16"/>
      <c r="R81" s="16"/>
      <c r="S81" s="16"/>
      <c r="T81" s="16"/>
      <c r="U81" s="17"/>
    </row>
    <row r="82" spans="2:21" ht="15" customHeight="1">
      <c r="B82" s="44"/>
      <c r="C82" s="44"/>
      <c r="D82" s="44"/>
      <c r="E82" s="44"/>
      <c r="F82" s="44"/>
      <c r="G82" s="44"/>
      <c r="H82" s="44"/>
      <c r="I82" s="44"/>
      <c r="J82" s="34" t="s">
        <v>4</v>
      </c>
      <c r="K82" s="34"/>
      <c r="L82" s="35"/>
      <c r="M82" s="38" t="s">
        <v>5</v>
      </c>
      <c r="N82" s="39"/>
      <c r="O82" s="40"/>
      <c r="P82" s="12" t="s">
        <v>26</v>
      </c>
      <c r="Q82" s="13"/>
      <c r="R82" s="14"/>
      <c r="S82" s="18" t="s">
        <v>27</v>
      </c>
      <c r="T82" s="19"/>
      <c r="U82" s="20"/>
    </row>
    <row r="83" spans="2:21" ht="15" customHeight="1">
      <c r="B83" s="44"/>
      <c r="C83" s="45"/>
      <c r="D83" s="44"/>
      <c r="E83" s="44"/>
      <c r="F83" s="44"/>
      <c r="G83" s="44"/>
      <c r="H83" s="44"/>
      <c r="I83" s="44"/>
      <c r="J83" s="36"/>
      <c r="K83" s="36"/>
      <c r="L83" s="37"/>
      <c r="M83" s="41"/>
      <c r="N83" s="42"/>
      <c r="O83" s="43"/>
      <c r="P83" s="15"/>
      <c r="Q83" s="16"/>
      <c r="R83" s="17"/>
      <c r="S83" s="21"/>
      <c r="T83" s="22"/>
      <c r="U83" s="23"/>
    </row>
    <row r="84" spans="2:21" ht="15" customHeight="1">
      <c r="B84" s="1">
        <v>1</v>
      </c>
      <c r="C84" s="3"/>
      <c r="D84" s="25" t="s">
        <v>52</v>
      </c>
      <c r="E84" s="26"/>
      <c r="F84" s="26"/>
      <c r="G84" s="26"/>
      <c r="H84" s="26"/>
      <c r="I84" s="27"/>
      <c r="J84" s="151">
        <v>-710416</v>
      </c>
      <c r="K84" s="152"/>
      <c r="L84" s="132"/>
      <c r="M84" s="151">
        <v>-424770</v>
      </c>
      <c r="N84" s="152"/>
      <c r="O84" s="132"/>
      <c r="P84" s="151">
        <v>44750</v>
      </c>
      <c r="Q84" s="152"/>
      <c r="R84" s="152"/>
      <c r="S84" s="133">
        <v>520450</v>
      </c>
      <c r="T84" s="133"/>
      <c r="U84" s="133"/>
    </row>
    <row r="85" spans="2:21" ht="15" customHeight="1">
      <c r="B85" s="1">
        <v>2</v>
      </c>
      <c r="C85" s="5" t="s">
        <v>59</v>
      </c>
      <c r="D85" s="28" t="s">
        <v>37</v>
      </c>
      <c r="E85" s="29"/>
      <c r="F85" s="29"/>
      <c r="G85" s="29"/>
      <c r="H85" s="29"/>
      <c r="I85" s="30"/>
      <c r="J85" s="152">
        <v>-5000</v>
      </c>
      <c r="K85" s="152"/>
      <c r="L85" s="132"/>
      <c r="M85" s="151">
        <v>-7500</v>
      </c>
      <c r="N85" s="152"/>
      <c r="O85" s="132"/>
      <c r="P85" s="151">
        <v>-17500</v>
      </c>
      <c r="Q85" s="152"/>
      <c r="R85" s="132"/>
      <c r="S85" s="153">
        <v>-20000</v>
      </c>
      <c r="T85" s="154"/>
      <c r="U85" s="155"/>
    </row>
    <row r="86" spans="2:21">
      <c r="B86" s="1">
        <v>3</v>
      </c>
      <c r="C86" s="6" t="s">
        <v>60</v>
      </c>
      <c r="D86" s="31" t="s">
        <v>61</v>
      </c>
      <c r="E86" s="32"/>
      <c r="F86" s="32"/>
      <c r="G86" s="32"/>
      <c r="H86" s="32"/>
      <c r="I86" s="33"/>
      <c r="J86" s="79">
        <f>J35-J23</f>
        <v>161798.39999999991</v>
      </c>
      <c r="K86" s="72"/>
      <c r="L86" s="73"/>
      <c r="M86" s="78">
        <f>M35-M23</f>
        <v>134707</v>
      </c>
      <c r="N86" s="72"/>
      <c r="O86" s="73"/>
      <c r="P86" s="78">
        <v>45000</v>
      </c>
      <c r="Q86" s="79"/>
      <c r="R86" s="80"/>
      <c r="S86" s="78">
        <v>50000</v>
      </c>
      <c r="T86" s="79"/>
      <c r="U86" s="80"/>
    </row>
    <row r="87" spans="2:21" ht="15.95" customHeight="1">
      <c r="B87" s="46" t="s">
        <v>62</v>
      </c>
      <c r="C87" s="47"/>
      <c r="D87" s="47"/>
      <c r="E87" s="47"/>
      <c r="F87" s="47"/>
      <c r="G87" s="47"/>
      <c r="H87" s="47"/>
      <c r="I87" s="48"/>
      <c r="J87" s="156">
        <f>J84+J85+J86</f>
        <v>-553617.60000000009</v>
      </c>
      <c r="K87" s="66"/>
      <c r="L87" s="67"/>
      <c r="M87" s="156">
        <f>M84+M85+M86</f>
        <v>-297563</v>
      </c>
      <c r="N87" s="66"/>
      <c r="O87" s="67"/>
      <c r="P87" s="156">
        <f>P84+P85+P86</f>
        <v>72250</v>
      </c>
      <c r="Q87" s="66"/>
      <c r="R87" s="67"/>
      <c r="S87" s="156">
        <f>S84+S85+S86</f>
        <v>550450</v>
      </c>
      <c r="T87" s="66"/>
      <c r="U87" s="67"/>
    </row>
    <row r="88" spans="2:21" ht="15.95" customHeight="1">
      <c r="B88" s="49"/>
      <c r="C88" s="47"/>
      <c r="D88" s="50"/>
      <c r="E88" s="50"/>
      <c r="F88" s="50"/>
      <c r="G88" s="50"/>
      <c r="H88" s="50"/>
      <c r="I88" s="51"/>
      <c r="J88" s="68"/>
      <c r="K88" s="69"/>
      <c r="L88" s="70"/>
      <c r="M88" s="68"/>
      <c r="N88" s="69"/>
      <c r="O88" s="70"/>
      <c r="P88" s="68"/>
      <c r="Q88" s="69"/>
      <c r="R88" s="70"/>
      <c r="S88" s="68"/>
      <c r="T88" s="69"/>
      <c r="U88" s="70"/>
    </row>
    <row r="89" spans="2:21" ht="15" customHeight="1">
      <c r="B89" s="1">
        <v>1</v>
      </c>
      <c r="C89" s="2" t="s">
        <v>63</v>
      </c>
      <c r="D89" s="32" t="s">
        <v>64</v>
      </c>
      <c r="E89" s="32"/>
      <c r="F89" s="32"/>
      <c r="G89" s="32"/>
      <c r="H89" s="32"/>
      <c r="I89" s="33"/>
      <c r="J89" s="78">
        <f>J23</f>
        <v>1236201.6000000001</v>
      </c>
      <c r="K89" s="79"/>
      <c r="L89" s="80"/>
      <c r="M89" s="78">
        <f>M23</f>
        <v>1190293</v>
      </c>
      <c r="N89" s="79"/>
      <c r="O89" s="80"/>
      <c r="P89" s="78">
        <v>950000</v>
      </c>
      <c r="Q89" s="79"/>
      <c r="R89" s="80"/>
      <c r="S89" s="78">
        <v>870000</v>
      </c>
      <c r="T89" s="79"/>
      <c r="U89" s="80"/>
    </row>
    <row r="90" spans="2:21" ht="15" customHeight="1">
      <c r="B90" s="46" t="s">
        <v>65</v>
      </c>
      <c r="C90" s="47"/>
      <c r="D90" s="52"/>
      <c r="E90" s="52"/>
      <c r="F90" s="52"/>
      <c r="G90" s="52"/>
      <c r="H90" s="52"/>
      <c r="I90" s="53"/>
      <c r="J90" s="65">
        <f>J89</f>
        <v>1236201.6000000001</v>
      </c>
      <c r="K90" s="66"/>
      <c r="L90" s="67"/>
      <c r="M90" s="65">
        <f t="shared" ref="M90" si="3">M89</f>
        <v>1190293</v>
      </c>
      <c r="N90" s="66"/>
      <c r="O90" s="67"/>
      <c r="P90" s="65">
        <f t="shared" ref="P90" si="4">P89</f>
        <v>950000</v>
      </c>
      <c r="Q90" s="66"/>
      <c r="R90" s="67"/>
      <c r="S90" s="65">
        <f t="shared" ref="S90" si="5">S89</f>
        <v>870000</v>
      </c>
      <c r="T90" s="66"/>
      <c r="U90" s="67"/>
    </row>
    <row r="91" spans="2:21" ht="15.95" customHeight="1">
      <c r="B91" s="49"/>
      <c r="C91" s="47"/>
      <c r="D91" s="47"/>
      <c r="E91" s="47"/>
      <c r="F91" s="47"/>
      <c r="G91" s="47"/>
      <c r="H91" s="47"/>
      <c r="I91" s="48"/>
      <c r="J91" s="68"/>
      <c r="K91" s="69"/>
      <c r="L91" s="70"/>
      <c r="M91" s="68"/>
      <c r="N91" s="69"/>
      <c r="O91" s="70"/>
      <c r="P91" s="68"/>
      <c r="Q91" s="69"/>
      <c r="R91" s="70"/>
      <c r="S91" s="68"/>
      <c r="T91" s="69"/>
      <c r="U91" s="70"/>
    </row>
    <row r="92" spans="2:21" ht="15" customHeight="1">
      <c r="B92" s="8">
        <v>1</v>
      </c>
      <c r="C92" s="4" t="str">
        <f>+C86</f>
        <v xml:space="preserve"> +</v>
      </c>
      <c r="D92" s="7" t="s">
        <v>66</v>
      </c>
      <c r="E92" s="7"/>
      <c r="F92" s="7"/>
      <c r="G92" s="7"/>
      <c r="H92" s="7"/>
      <c r="I92" s="7"/>
      <c r="J92" s="72"/>
      <c r="K92" s="72"/>
      <c r="L92" s="73"/>
      <c r="M92" s="71"/>
      <c r="N92" s="72"/>
      <c r="O92" s="73"/>
      <c r="P92" s="71"/>
      <c r="Q92" s="72"/>
      <c r="R92" s="73"/>
      <c r="S92" s="71"/>
      <c r="T92" s="72"/>
      <c r="U92" s="73"/>
    </row>
    <row r="93" spans="2:21" ht="15" customHeight="1">
      <c r="B93" s="9"/>
      <c r="C93" s="2"/>
      <c r="D93" s="2">
        <v>1</v>
      </c>
      <c r="E93" s="130" t="s">
        <v>67</v>
      </c>
      <c r="F93" s="130"/>
      <c r="G93" s="130"/>
      <c r="H93" s="130"/>
      <c r="I93" s="130"/>
      <c r="J93" s="79">
        <f>J30+J31</f>
        <v>850000</v>
      </c>
      <c r="K93" s="72"/>
      <c r="L93" s="73"/>
      <c r="M93" s="78">
        <f>M30+M31</f>
        <v>775000</v>
      </c>
      <c r="N93" s="72"/>
      <c r="O93" s="73"/>
      <c r="P93" s="78">
        <v>640000</v>
      </c>
      <c r="Q93" s="72"/>
      <c r="R93" s="73"/>
      <c r="S93" s="78">
        <v>580000</v>
      </c>
      <c r="T93" s="72"/>
      <c r="U93" s="73"/>
    </row>
    <row r="94" spans="2:21">
      <c r="B94" s="9"/>
      <c r="C94" s="2"/>
      <c r="D94" s="2">
        <v>2</v>
      </c>
      <c r="E94" s="130" t="s">
        <v>68</v>
      </c>
      <c r="F94" s="130"/>
      <c r="G94" s="130"/>
      <c r="H94" s="130"/>
      <c r="I94" s="130"/>
      <c r="J94" s="79">
        <f>J28</f>
        <v>15000</v>
      </c>
      <c r="K94" s="72"/>
      <c r="L94" s="73"/>
      <c r="M94" s="78">
        <f>M28</f>
        <v>25000</v>
      </c>
      <c r="N94" s="72"/>
      <c r="O94" s="73"/>
      <c r="P94" s="78">
        <v>57500</v>
      </c>
      <c r="Q94" s="72"/>
      <c r="R94" s="73"/>
      <c r="S94" s="78">
        <v>80000</v>
      </c>
      <c r="T94" s="72"/>
      <c r="U94" s="73"/>
    </row>
    <row r="95" spans="2:21">
      <c r="B95" s="10"/>
      <c r="C95" s="2"/>
      <c r="D95" s="2">
        <v>3</v>
      </c>
      <c r="E95" s="130" t="s">
        <v>69</v>
      </c>
      <c r="F95" s="130"/>
      <c r="G95" s="130"/>
      <c r="H95" s="130"/>
      <c r="I95" s="130"/>
      <c r="J95" s="79">
        <f>J33</f>
        <v>500000</v>
      </c>
      <c r="K95" s="72"/>
      <c r="L95" s="73"/>
      <c r="M95" s="78">
        <f>M33</f>
        <v>400000</v>
      </c>
      <c r="N95" s="72"/>
      <c r="O95" s="73"/>
      <c r="P95" s="78">
        <v>330000</v>
      </c>
      <c r="Q95" s="72"/>
      <c r="R95" s="73"/>
      <c r="S95" s="78">
        <v>290000</v>
      </c>
      <c r="T95" s="72"/>
      <c r="U95" s="73"/>
    </row>
    <row r="96" spans="2:21">
      <c r="B96" s="1">
        <v>2</v>
      </c>
      <c r="C96" s="2" t="s">
        <v>63</v>
      </c>
      <c r="D96" s="7" t="s">
        <v>70</v>
      </c>
      <c r="E96" s="7"/>
      <c r="F96" s="7"/>
      <c r="G96" s="7"/>
      <c r="H96" s="7"/>
      <c r="I96" s="7"/>
      <c r="J96" s="91" t="s">
        <v>45</v>
      </c>
      <c r="K96" s="91"/>
      <c r="L96" s="92"/>
      <c r="M96" s="91" t="s">
        <v>45</v>
      </c>
      <c r="N96" s="91"/>
      <c r="O96" s="92"/>
      <c r="P96" s="91" t="s">
        <v>45</v>
      </c>
      <c r="Q96" s="91"/>
      <c r="R96" s="92"/>
      <c r="S96" s="91" t="s">
        <v>45</v>
      </c>
      <c r="T96" s="91"/>
      <c r="U96" s="92"/>
    </row>
    <row r="97" spans="2:21">
      <c r="B97" s="1">
        <v>3</v>
      </c>
      <c r="C97" s="2" t="s">
        <v>60</v>
      </c>
      <c r="D97" s="7" t="s">
        <v>71</v>
      </c>
      <c r="E97" s="7"/>
      <c r="F97" s="7"/>
      <c r="G97" s="7"/>
      <c r="H97" s="7"/>
      <c r="I97" s="7"/>
      <c r="J97" s="72" t="s">
        <v>45</v>
      </c>
      <c r="K97" s="72"/>
      <c r="L97" s="73"/>
      <c r="M97" s="91" t="s">
        <v>45</v>
      </c>
      <c r="N97" s="91"/>
      <c r="O97" s="92"/>
      <c r="P97" s="91" t="s">
        <v>45</v>
      </c>
      <c r="Q97" s="91"/>
      <c r="R97" s="92"/>
      <c r="S97" s="91" t="s">
        <v>45</v>
      </c>
      <c r="T97" s="91"/>
      <c r="U97" s="92"/>
    </row>
    <row r="98" spans="2:21" ht="15.95" customHeight="1">
      <c r="B98" s="46" t="s">
        <v>72</v>
      </c>
      <c r="C98" s="47"/>
      <c r="D98" s="47"/>
      <c r="E98" s="47"/>
      <c r="F98" s="47"/>
      <c r="G98" s="47"/>
      <c r="H98" s="47"/>
      <c r="I98" s="48"/>
      <c r="J98" s="11">
        <v>0</v>
      </c>
      <c r="K98" s="11"/>
      <c r="L98" s="11"/>
      <c r="M98" s="11">
        <v>0</v>
      </c>
      <c r="N98" s="11"/>
      <c r="O98" s="11"/>
      <c r="P98" s="11">
        <v>0</v>
      </c>
      <c r="Q98" s="11"/>
      <c r="R98" s="11"/>
      <c r="S98" s="11">
        <v>0</v>
      </c>
      <c r="T98" s="11"/>
      <c r="U98" s="11"/>
    </row>
    <row r="99" spans="2:21" ht="15.95" customHeight="1">
      <c r="B99" s="49"/>
      <c r="C99" s="50"/>
      <c r="D99" s="50"/>
      <c r="E99" s="50"/>
      <c r="F99" s="50"/>
      <c r="G99" s="50"/>
      <c r="H99" s="50"/>
      <c r="I99" s="5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2:21">
      <c r="B100" s="46" t="s">
        <v>73</v>
      </c>
      <c r="C100" s="52"/>
      <c r="D100" s="52"/>
      <c r="E100" s="52"/>
      <c r="F100" s="52"/>
      <c r="G100" s="52"/>
      <c r="H100" s="52"/>
      <c r="I100" s="53"/>
      <c r="J100" s="11">
        <v>0</v>
      </c>
      <c r="K100" s="11"/>
      <c r="L100" s="11"/>
      <c r="M100" s="11">
        <v>0</v>
      </c>
      <c r="N100" s="11"/>
      <c r="O100" s="11"/>
      <c r="P100" s="11">
        <v>0</v>
      </c>
      <c r="Q100" s="11"/>
      <c r="R100" s="11"/>
      <c r="S100" s="11">
        <v>0</v>
      </c>
      <c r="T100" s="11"/>
      <c r="U100" s="11"/>
    </row>
    <row r="101" spans="2:21">
      <c r="B101" s="49"/>
      <c r="C101" s="50"/>
      <c r="D101" s="50"/>
      <c r="E101" s="50"/>
      <c r="F101" s="50"/>
      <c r="G101" s="50"/>
      <c r="H101" s="50"/>
      <c r="I101" s="5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2:21">
      <c r="B102" s="46" t="s">
        <v>74</v>
      </c>
      <c r="C102" s="52"/>
      <c r="D102" s="52"/>
      <c r="E102" s="52"/>
      <c r="F102" s="52"/>
      <c r="G102" s="52"/>
      <c r="H102" s="52"/>
      <c r="I102" s="53"/>
      <c r="J102" s="11">
        <v>0</v>
      </c>
      <c r="K102" s="11"/>
      <c r="L102" s="11"/>
      <c r="M102" s="11">
        <v>0</v>
      </c>
      <c r="N102" s="11"/>
      <c r="O102" s="11"/>
      <c r="P102" s="11">
        <v>0</v>
      </c>
      <c r="Q102" s="11"/>
      <c r="R102" s="11"/>
      <c r="S102" s="11">
        <v>0</v>
      </c>
      <c r="T102" s="11"/>
      <c r="U102" s="11"/>
    </row>
    <row r="103" spans="2:21">
      <c r="B103" s="49"/>
      <c r="C103" s="50"/>
      <c r="D103" s="50"/>
      <c r="E103" s="50"/>
      <c r="F103" s="50"/>
      <c r="G103" s="50"/>
      <c r="H103" s="50"/>
      <c r="I103" s="5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</sheetData>
  <mergeCells count="300">
    <mergeCell ref="J70:L71"/>
    <mergeCell ref="M70:O71"/>
    <mergeCell ref="P70:R71"/>
    <mergeCell ref="S70:U71"/>
    <mergeCell ref="S61:U61"/>
    <mergeCell ref="J62:L62"/>
    <mergeCell ref="M62:O62"/>
    <mergeCell ref="P62:R62"/>
    <mergeCell ref="S62:U62"/>
    <mergeCell ref="J65:L65"/>
    <mergeCell ref="S65:U65"/>
    <mergeCell ref="J64:L64"/>
    <mergeCell ref="M64:O64"/>
    <mergeCell ref="P64:R64"/>
    <mergeCell ref="S64:U64"/>
    <mergeCell ref="B47:B56"/>
    <mergeCell ref="B57:B58"/>
    <mergeCell ref="C57:I58"/>
    <mergeCell ref="J49:L49"/>
    <mergeCell ref="M49:O49"/>
    <mergeCell ref="J50:L50"/>
    <mergeCell ref="M50:O50"/>
    <mergeCell ref="J54:L54"/>
    <mergeCell ref="M54:O54"/>
    <mergeCell ref="D50:I50"/>
    <mergeCell ref="D51:I51"/>
    <mergeCell ref="D52:I52"/>
    <mergeCell ref="D53:I53"/>
    <mergeCell ref="D54:I54"/>
    <mergeCell ref="D55:I55"/>
    <mergeCell ref="D56:I56"/>
    <mergeCell ref="C47:I48"/>
    <mergeCell ref="J47:L48"/>
    <mergeCell ref="M47:O48"/>
    <mergeCell ref="C49:I49"/>
    <mergeCell ref="J57:L58"/>
    <mergeCell ref="B66:B67"/>
    <mergeCell ref="C66:I67"/>
    <mergeCell ref="B61:B65"/>
    <mergeCell ref="J61:L61"/>
    <mergeCell ref="J66:L67"/>
    <mergeCell ref="M66:O67"/>
    <mergeCell ref="P66:R67"/>
    <mergeCell ref="M61:O61"/>
    <mergeCell ref="P61:R61"/>
    <mergeCell ref="D63:I63"/>
    <mergeCell ref="D64:I64"/>
    <mergeCell ref="D65:I65"/>
    <mergeCell ref="P49:R49"/>
    <mergeCell ref="S49:U49"/>
    <mergeCell ref="P54:R54"/>
    <mergeCell ref="S54:U54"/>
    <mergeCell ref="P47:R48"/>
    <mergeCell ref="S94:U94"/>
    <mergeCell ref="S95:U95"/>
    <mergeCell ref="S96:U96"/>
    <mergeCell ref="M68:O69"/>
    <mergeCell ref="S59:U60"/>
    <mergeCell ref="M57:O58"/>
    <mergeCell ref="S66:U67"/>
    <mergeCell ref="P68:R69"/>
    <mergeCell ref="S68:U69"/>
    <mergeCell ref="P86:R86"/>
    <mergeCell ref="S84:U84"/>
    <mergeCell ref="S85:U85"/>
    <mergeCell ref="S86:U86"/>
    <mergeCell ref="J93:L93"/>
    <mergeCell ref="J92:L92"/>
    <mergeCell ref="S92:U92"/>
    <mergeCell ref="S93:U93"/>
    <mergeCell ref="M92:O92"/>
    <mergeCell ref="M93:O93"/>
    <mergeCell ref="M85:O85"/>
    <mergeCell ref="M86:O86"/>
    <mergeCell ref="S97:U97"/>
    <mergeCell ref="P92:R92"/>
    <mergeCell ref="P93:R93"/>
    <mergeCell ref="P94:R94"/>
    <mergeCell ref="P95:R95"/>
    <mergeCell ref="P96:R96"/>
    <mergeCell ref="P97:R97"/>
    <mergeCell ref="B38:I41"/>
    <mergeCell ref="J38:O39"/>
    <mergeCell ref="P38:U39"/>
    <mergeCell ref="J40:L41"/>
    <mergeCell ref="M40:O41"/>
    <mergeCell ref="C42:I42"/>
    <mergeCell ref="C43:I44"/>
    <mergeCell ref="B42:B44"/>
    <mergeCell ref="J42:L42"/>
    <mergeCell ref="M42:O42"/>
    <mergeCell ref="J43:L44"/>
    <mergeCell ref="M43:O44"/>
    <mergeCell ref="P40:R41"/>
    <mergeCell ref="S40:U41"/>
    <mergeCell ref="P42:R42"/>
    <mergeCell ref="S42:U42"/>
    <mergeCell ref="B75:I76"/>
    <mergeCell ref="B73:I74"/>
    <mergeCell ref="B77:R78"/>
    <mergeCell ref="D92:I92"/>
    <mergeCell ref="E95:I95"/>
    <mergeCell ref="E93:I93"/>
    <mergeCell ref="E94:I94"/>
    <mergeCell ref="J95:L95"/>
    <mergeCell ref="P84:R84"/>
    <mergeCell ref="B59:B60"/>
    <mergeCell ref="C59:I60"/>
    <mergeCell ref="J59:L60"/>
    <mergeCell ref="M59:O60"/>
    <mergeCell ref="P59:R60"/>
    <mergeCell ref="M65:O65"/>
    <mergeCell ref="P65:R65"/>
    <mergeCell ref="B68:B69"/>
    <mergeCell ref="B70:B71"/>
    <mergeCell ref="C68:I69"/>
    <mergeCell ref="C70:I71"/>
    <mergeCell ref="J68:L69"/>
    <mergeCell ref="C61:I61"/>
    <mergeCell ref="J84:L84"/>
    <mergeCell ref="M84:O84"/>
    <mergeCell ref="P85:R85"/>
    <mergeCell ref="B98:I99"/>
    <mergeCell ref="J90:L91"/>
    <mergeCell ref="M90:O91"/>
    <mergeCell ref="P90:R91"/>
    <mergeCell ref="S90:U91"/>
    <mergeCell ref="J87:L88"/>
    <mergeCell ref="M87:O88"/>
    <mergeCell ref="P87:R88"/>
    <mergeCell ref="S87:U88"/>
    <mergeCell ref="S89:U89"/>
    <mergeCell ref="J89:L89"/>
    <mergeCell ref="M89:O89"/>
    <mergeCell ref="P89:R89"/>
    <mergeCell ref="M94:O94"/>
    <mergeCell ref="M95:O95"/>
    <mergeCell ref="M96:O96"/>
    <mergeCell ref="M97:O97"/>
    <mergeCell ref="J94:L94"/>
    <mergeCell ref="S98:U99"/>
    <mergeCell ref="J96:L96"/>
    <mergeCell ref="J97:L97"/>
    <mergeCell ref="J98:L99"/>
    <mergeCell ref="M98:O99"/>
    <mergeCell ref="P98:R99"/>
    <mergeCell ref="B9:U10"/>
    <mergeCell ref="B12:I15"/>
    <mergeCell ref="J12:O13"/>
    <mergeCell ref="P12:U13"/>
    <mergeCell ref="J14:L15"/>
    <mergeCell ref="M14:O15"/>
    <mergeCell ref="P14:U15"/>
    <mergeCell ref="B23:I24"/>
    <mergeCell ref="J23:L24"/>
    <mergeCell ref="M23:O24"/>
    <mergeCell ref="P16:U16"/>
    <mergeCell ref="P17:U17"/>
    <mergeCell ref="P18:U18"/>
    <mergeCell ref="P19:U19"/>
    <mergeCell ref="P20:U20"/>
    <mergeCell ref="P21:U21"/>
    <mergeCell ref="C16:I16"/>
    <mergeCell ref="J16:L16"/>
    <mergeCell ref="M16:O16"/>
    <mergeCell ref="C17:I17"/>
    <mergeCell ref="J17:L17"/>
    <mergeCell ref="M17:O17"/>
    <mergeCell ref="C18:I18"/>
    <mergeCell ref="C22:I22"/>
    <mergeCell ref="J25:L25"/>
    <mergeCell ref="J73:R74"/>
    <mergeCell ref="J75:R76"/>
    <mergeCell ref="C21:I21"/>
    <mergeCell ref="C20:I20"/>
    <mergeCell ref="C19:I19"/>
    <mergeCell ref="P22:U22"/>
    <mergeCell ref="P23:U24"/>
    <mergeCell ref="P31:U31"/>
    <mergeCell ref="P32:U32"/>
    <mergeCell ref="M51:O51"/>
    <mergeCell ref="P51:R51"/>
    <mergeCell ref="S51:U51"/>
    <mergeCell ref="B35:I36"/>
    <mergeCell ref="C25:I25"/>
    <mergeCell ref="P33:U34"/>
    <mergeCell ref="M33:O34"/>
    <mergeCell ref="J33:L34"/>
    <mergeCell ref="J29:L29"/>
    <mergeCell ref="B45:B46"/>
    <mergeCell ref="C45:I46"/>
    <mergeCell ref="J45:L46"/>
    <mergeCell ref="M45:O46"/>
    <mergeCell ref="J52:L52"/>
    <mergeCell ref="P27:U27"/>
    <mergeCell ref="P28:U28"/>
    <mergeCell ref="P29:U29"/>
    <mergeCell ref="P30:U30"/>
    <mergeCell ref="J56:L56"/>
    <mergeCell ref="M56:O56"/>
    <mergeCell ref="P56:R56"/>
    <mergeCell ref="S56:U56"/>
    <mergeCell ref="M35:O36"/>
    <mergeCell ref="J32:L32"/>
    <mergeCell ref="M32:O32"/>
    <mergeCell ref="M52:O52"/>
    <mergeCell ref="P45:R46"/>
    <mergeCell ref="S45:U46"/>
    <mergeCell ref="J55:L55"/>
    <mergeCell ref="M55:O55"/>
    <mergeCell ref="P55:R55"/>
    <mergeCell ref="S55:U55"/>
    <mergeCell ref="S43:U44"/>
    <mergeCell ref="S47:U48"/>
    <mergeCell ref="P50:R50"/>
    <mergeCell ref="S50:U50"/>
    <mergeCell ref="P52:R52"/>
    <mergeCell ref="P43:R44"/>
    <mergeCell ref="S102:U103"/>
    <mergeCell ref="B102:I103"/>
    <mergeCell ref="J102:L103"/>
    <mergeCell ref="M102:O103"/>
    <mergeCell ref="P102:R103"/>
    <mergeCell ref="B100:I101"/>
    <mergeCell ref="J100:L101"/>
    <mergeCell ref="M100:O101"/>
    <mergeCell ref="P100:R101"/>
    <mergeCell ref="S100:U101"/>
    <mergeCell ref="M22:O22"/>
    <mergeCell ref="M25:O25"/>
    <mergeCell ref="P57:R58"/>
    <mergeCell ref="B25:B28"/>
    <mergeCell ref="B29:B32"/>
    <mergeCell ref="B33:B34"/>
    <mergeCell ref="C33:I34"/>
    <mergeCell ref="D26:I26"/>
    <mergeCell ref="D27:I27"/>
    <mergeCell ref="D28:I28"/>
    <mergeCell ref="D30:I30"/>
    <mergeCell ref="D31:I31"/>
    <mergeCell ref="D32:I32"/>
    <mergeCell ref="C29:I29"/>
    <mergeCell ref="J26:L26"/>
    <mergeCell ref="J27:L27"/>
    <mergeCell ref="J28:L28"/>
    <mergeCell ref="J30:L30"/>
    <mergeCell ref="J31:L31"/>
    <mergeCell ref="M30:O30"/>
    <mergeCell ref="M31:O31"/>
    <mergeCell ref="J35:L36"/>
    <mergeCell ref="P25:U25"/>
    <mergeCell ref="P26:U26"/>
    <mergeCell ref="B2:I7"/>
    <mergeCell ref="P35:U36"/>
    <mergeCell ref="D62:I62"/>
    <mergeCell ref="J63:L63"/>
    <mergeCell ref="M63:O63"/>
    <mergeCell ref="P63:R63"/>
    <mergeCell ref="S63:U63"/>
    <mergeCell ref="M53:O53"/>
    <mergeCell ref="P53:R53"/>
    <mergeCell ref="S53:U53"/>
    <mergeCell ref="J53:L53"/>
    <mergeCell ref="J18:L18"/>
    <mergeCell ref="J19:L19"/>
    <mergeCell ref="J20:L20"/>
    <mergeCell ref="J21:L21"/>
    <mergeCell ref="J22:L22"/>
    <mergeCell ref="M26:O26"/>
    <mergeCell ref="M27:O27"/>
    <mergeCell ref="M28:O28"/>
    <mergeCell ref="M29:O29"/>
    <mergeCell ref="M18:O18"/>
    <mergeCell ref="M19:O19"/>
    <mergeCell ref="M20:O20"/>
    <mergeCell ref="M21:O21"/>
    <mergeCell ref="D96:I96"/>
    <mergeCell ref="D97:I97"/>
    <mergeCell ref="B92:B95"/>
    <mergeCell ref="S77:U78"/>
    <mergeCell ref="S73:U74"/>
    <mergeCell ref="S75:U76"/>
    <mergeCell ref="S82:U83"/>
    <mergeCell ref="J51:L51"/>
    <mergeCell ref="D84:I84"/>
    <mergeCell ref="D85:I85"/>
    <mergeCell ref="D86:I86"/>
    <mergeCell ref="D89:I89"/>
    <mergeCell ref="S52:U52"/>
    <mergeCell ref="J80:O81"/>
    <mergeCell ref="P80:U81"/>
    <mergeCell ref="J82:L83"/>
    <mergeCell ref="M82:O83"/>
    <mergeCell ref="P82:R83"/>
    <mergeCell ref="S57:U58"/>
    <mergeCell ref="B80:I83"/>
    <mergeCell ref="B87:I88"/>
    <mergeCell ref="B90:I91"/>
    <mergeCell ref="J86:L86"/>
    <mergeCell ref="J85:L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STEFANO CARAMAGNO</cp:lastModifiedBy>
  <cp:revision/>
  <dcterms:created xsi:type="dcterms:W3CDTF">2006-09-16T00:00:00Z</dcterms:created>
  <dcterms:modified xsi:type="dcterms:W3CDTF">2024-01-15T22:02:29Z</dcterms:modified>
  <cp:category/>
  <cp:contentStatus/>
</cp:coreProperties>
</file>