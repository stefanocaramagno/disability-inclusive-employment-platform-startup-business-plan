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07"/>
  <workbookPr/>
  <mc:AlternateContent xmlns:mc="http://schemas.openxmlformats.org/markup-compatibility/2006">
    <mc:Choice Requires="x15">
      <x15ac:absPath xmlns:x15ac="http://schemas.microsoft.com/office/spreadsheetml/2010/11/ac" url="https://studentiunict-my.sharepoint.com/personal/clbfrc03d05c351r_studium_unict_it/Documents/Università/Terzo anno (a.a. 2023-2024)/startup di impresa e modelli di business/elaborati/Business Plan/"/>
    </mc:Choice>
  </mc:AlternateContent>
  <xr:revisionPtr revIDLastSave="420" documentId="11_C8706DE7DCCB40836B02CE998F75CCDC64E19E90" xr6:coauthVersionLast="47" xr6:coauthVersionMax="47" xr10:uidLastSave="{7031EA13-CB2B-45F7-ABA9-310422029E4D}"/>
  <bookViews>
    <workbookView xWindow="0" yWindow="760" windowWidth="30240" windowHeight="17400" xr2:uid="{00000000-000D-0000-FFFF-FFFF00000000}"/>
  </bookViews>
  <sheets>
    <sheet name="PROSPETTO DEI COST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1" l="1"/>
  <c r="P32" i="1"/>
  <c r="S32" i="1"/>
  <c r="J32" i="1"/>
  <c r="M29" i="1"/>
  <c r="P29" i="1"/>
  <c r="S29" i="1"/>
  <c r="J29" i="1"/>
  <c r="J21" i="1"/>
  <c r="S21" i="1"/>
  <c r="P21" i="1"/>
  <c r="M21" i="1"/>
</calcChain>
</file>

<file path=xl/sharedStrings.xml><?xml version="1.0" encoding="utf-8"?>
<sst xmlns="http://schemas.openxmlformats.org/spreadsheetml/2006/main" count="22" uniqueCount="21">
  <si>
    <t xml:space="preserve">    EQUAL OPPORTUNITIES</t>
  </si>
  <si>
    <t>PROSPETTI DEI COSTI</t>
  </si>
  <si>
    <t>DESCRIZIONE</t>
  </si>
  <si>
    <t>REALIZZAZIONE PIANO D'IMPRESA (24 MESI)</t>
  </si>
  <si>
    <t>ANNO 1° (€)</t>
  </si>
  <si>
    <t>ANNO 2° (€)</t>
  </si>
  <si>
    <t>ANNO 3° (€)</t>
  </si>
  <si>
    <t>ANNO 4° (€)</t>
  </si>
  <si>
    <t>Uffici</t>
  </si>
  <si>
    <t>Personale</t>
  </si>
  <si>
    <t>Infrastruttura Cloud</t>
  </si>
  <si>
    <t>Licenze Software</t>
  </si>
  <si>
    <t>Costi di gestione</t>
  </si>
  <si>
    <t xml:space="preserve"> Totale Costi Fissi (€) </t>
  </si>
  <si>
    <t>Pubblicità</t>
  </si>
  <si>
    <t>Commissioni sulle Transazioni</t>
  </si>
  <si>
    <t>Eventi Pubblici</t>
  </si>
  <si>
    <t>Servizi Funzionali</t>
  </si>
  <si>
    <t>Spese legate agli uffici</t>
  </si>
  <si>
    <t xml:space="preserve"> Totale Costi Variabili (€) </t>
  </si>
  <si>
    <t xml:space="preserve"> Totale Costi (€)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</si>
</sst>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9">
    <font>
      <sz val="11"/>
      <color theme="1"/>
      <name val="Calibri"/>
      <family val="2"/>
      <scheme val="minor"/>
    </font>
    <font>
      <b/>
      <sz val="15"/>
      <color rgb="FF000000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7C7AC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left" vertical="center"/>
    </xf>
    <xf numFmtId="164" fontId="7" fillId="3" borderId="5" xfId="0" applyNumberFormat="1" applyFont="1" applyFill="1" applyBorder="1" applyAlignment="1">
      <alignment horizontal="left" vertical="center"/>
    </xf>
    <xf numFmtId="164" fontId="7" fillId="3" borderId="4" xfId="0" applyNumberFormat="1" applyFont="1" applyFill="1" applyBorder="1" applyAlignment="1">
      <alignment horizontal="left" vertical="center"/>
    </xf>
    <xf numFmtId="0" fontId="7" fillId="3" borderId="6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left" vertical="center"/>
    </xf>
    <xf numFmtId="164" fontId="7" fillId="3" borderId="6" xfId="0" applyNumberFormat="1" applyFont="1" applyFill="1" applyBorder="1" applyAlignment="1">
      <alignment horizontal="left" vertical="center"/>
    </xf>
    <xf numFmtId="164" fontId="7" fillId="3" borderId="7" xfId="0" applyNumberFormat="1" applyFont="1" applyFill="1" applyBorder="1" applyAlignment="1">
      <alignment horizontal="left" vertical="center"/>
    </xf>
    <xf numFmtId="0" fontId="7" fillId="3" borderId="5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164" fontId="0" fillId="3" borderId="3" xfId="0" applyNumberFormat="1" applyFill="1" applyBorder="1" applyAlignment="1">
      <alignment horizontal="left"/>
    </xf>
    <xf numFmtId="164" fontId="0" fillId="3" borderId="5" xfId="0" applyNumberFormat="1" applyFill="1" applyBorder="1" applyAlignment="1">
      <alignment horizontal="left"/>
    </xf>
    <xf numFmtId="164" fontId="0" fillId="3" borderId="4" xfId="0" applyNumberFormat="1" applyFill="1" applyBorder="1" applyAlignment="1">
      <alignment horizontal="left"/>
    </xf>
    <xf numFmtId="164" fontId="7" fillId="3" borderId="3" xfId="0" applyNumberFormat="1" applyFont="1" applyFill="1" applyBorder="1" applyAlignment="1">
      <alignment horizontal="left" vertical="center"/>
    </xf>
    <xf numFmtId="164" fontId="7" fillId="3" borderId="5" xfId="0" applyNumberFormat="1" applyFont="1" applyFill="1" applyBorder="1" applyAlignment="1">
      <alignment horizontal="left" vertical="center"/>
    </xf>
    <xf numFmtId="164" fontId="7" fillId="3" borderId="4" xfId="0" applyNumberFormat="1" applyFont="1" applyFill="1" applyBorder="1" applyAlignment="1">
      <alignment horizontal="left" vertical="center"/>
    </xf>
    <xf numFmtId="164" fontId="8" fillId="3" borderId="3" xfId="0" applyNumberFormat="1" applyFont="1" applyFill="1" applyBorder="1" applyAlignment="1">
      <alignment horizontal="left"/>
    </xf>
    <xf numFmtId="164" fontId="8" fillId="3" borderId="5" xfId="0" applyNumberFormat="1" applyFont="1" applyFill="1" applyBorder="1" applyAlignment="1">
      <alignment horizontal="left"/>
    </xf>
    <xf numFmtId="164" fontId="8" fillId="3" borderId="4" xfId="0" applyNumberFormat="1" applyFont="1" applyFill="1" applyBorder="1" applyAlignment="1">
      <alignment horizontal="left"/>
    </xf>
    <xf numFmtId="0" fontId="5" fillId="5" borderId="10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11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0" fontId="5" fillId="5" borderId="17" xfId="0" applyFont="1" applyFill="1" applyBorder="1" applyAlignment="1">
      <alignment horizontal="left" vertical="center"/>
    </xf>
    <xf numFmtId="0" fontId="5" fillId="5" borderId="18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left" vertical="center"/>
    </xf>
    <xf numFmtId="164" fontId="7" fillId="3" borderId="6" xfId="0" applyNumberFormat="1" applyFont="1" applyFill="1" applyBorder="1" applyAlignment="1">
      <alignment horizontal="left" vertical="center"/>
    </xf>
    <xf numFmtId="164" fontId="7" fillId="3" borderId="7" xfId="0" applyNumberFormat="1" applyFont="1" applyFill="1" applyBorder="1" applyAlignment="1">
      <alignment horizontal="left" vertical="center"/>
    </xf>
    <xf numFmtId="164" fontId="7" fillId="3" borderId="2" xfId="0" applyNumberFormat="1" applyFont="1" applyFill="1" applyBorder="1" applyAlignment="1">
      <alignment horizontal="left" vertical="center"/>
    </xf>
    <xf numFmtId="164" fontId="7" fillId="3" borderId="8" xfId="0" applyNumberFormat="1" applyFont="1" applyFill="1" applyBorder="1" applyAlignment="1">
      <alignment horizontal="left" vertical="center"/>
    </xf>
    <xf numFmtId="164" fontId="7" fillId="3" borderId="9" xfId="0" applyNumberFormat="1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left" vertical="center"/>
    </xf>
    <xf numFmtId="164" fontId="8" fillId="3" borderId="7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left" vertical="center"/>
    </xf>
    <xf numFmtId="164" fontId="8" fillId="3" borderId="8" xfId="0" applyNumberFormat="1" applyFont="1" applyFill="1" applyBorder="1" applyAlignment="1">
      <alignment horizontal="left" vertical="center"/>
    </xf>
    <xf numFmtId="164" fontId="8" fillId="3" borderId="9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164" fontId="8" fillId="3" borderId="19" xfId="0" applyNumberFormat="1" applyFont="1" applyFill="1" applyBorder="1" applyAlignment="1">
      <alignment horizontal="left" vertical="center"/>
    </xf>
    <xf numFmtId="164" fontId="8" fillId="3" borderId="20" xfId="0" applyNumberFormat="1" applyFont="1" applyFill="1" applyBorder="1" applyAlignment="1">
      <alignment horizontal="left" vertical="center"/>
    </xf>
    <xf numFmtId="164" fontId="8" fillId="3" borderId="16" xfId="0" applyNumberFormat="1" applyFont="1" applyFill="1" applyBorder="1" applyAlignment="1">
      <alignment horizontal="left" vertical="center"/>
    </xf>
    <xf numFmtId="164" fontId="8" fillId="3" borderId="17" xfId="0" applyNumberFormat="1" applyFont="1" applyFill="1" applyBorder="1" applyAlignment="1">
      <alignment horizontal="left" vertical="center"/>
    </xf>
    <xf numFmtId="164" fontId="8" fillId="3" borderId="18" xfId="0" applyNumberFormat="1" applyFont="1" applyFill="1" applyBorder="1" applyAlignment="1">
      <alignment horizontal="left" vertical="center"/>
    </xf>
    <xf numFmtId="0" fontId="7" fillId="3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7E6E6"/>
      <color rgb="FFF7C7AC"/>
      <color rgb="FFC6E0B4"/>
      <color rgb="FFBDD7EE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28575</xdr:rowOff>
    </xdr:from>
    <xdr:to>
      <xdr:col>2</xdr:col>
      <xdr:colOff>438150</xdr:colOff>
      <xdr:row>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402F2E-C75C-4088-8A3F-D90A866ED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19075"/>
          <a:ext cx="895350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33"/>
  <sheetViews>
    <sheetView tabSelected="1" zoomScale="93" workbookViewId="0">
      <selection activeCell="AA16" sqref="AA16"/>
    </sheetView>
  </sheetViews>
  <sheetFormatPr defaultColWidth="8.85546875" defaultRowHeight="15"/>
  <cols>
    <col min="10" max="10" width="12.42578125" bestFit="1" customWidth="1"/>
    <col min="13" max="13" width="12.42578125" bestFit="1" customWidth="1"/>
    <col min="16" max="16" width="12.42578125" bestFit="1" customWidth="1"/>
    <col min="19" max="19" width="12.42578125" bestFit="1" customWidth="1"/>
  </cols>
  <sheetData>
    <row r="2" spans="2:21">
      <c r="B2" s="76" t="s">
        <v>0</v>
      </c>
      <c r="C2" s="77"/>
      <c r="D2" s="77"/>
      <c r="E2" s="77"/>
      <c r="F2" s="77"/>
      <c r="G2" s="77"/>
      <c r="H2" s="77"/>
      <c r="I2" s="78"/>
    </row>
    <row r="3" spans="2:21">
      <c r="B3" s="79"/>
      <c r="C3" s="80"/>
      <c r="D3" s="80"/>
      <c r="E3" s="80"/>
      <c r="F3" s="80"/>
      <c r="G3" s="80"/>
      <c r="H3" s="80"/>
      <c r="I3" s="81"/>
    </row>
    <row r="4" spans="2:21">
      <c r="B4" s="79"/>
      <c r="C4" s="80"/>
      <c r="D4" s="80"/>
      <c r="E4" s="80"/>
      <c r="F4" s="80"/>
      <c r="G4" s="80"/>
      <c r="H4" s="80"/>
      <c r="I4" s="81"/>
    </row>
    <row r="5" spans="2:21">
      <c r="B5" s="79"/>
      <c r="C5" s="80"/>
      <c r="D5" s="80"/>
      <c r="E5" s="80"/>
      <c r="F5" s="80"/>
      <c r="G5" s="80"/>
      <c r="H5" s="80"/>
      <c r="I5" s="81"/>
    </row>
    <row r="6" spans="2:21">
      <c r="B6" s="79"/>
      <c r="C6" s="80"/>
      <c r="D6" s="80"/>
      <c r="E6" s="80"/>
      <c r="F6" s="80"/>
      <c r="G6" s="80"/>
      <c r="H6" s="80"/>
      <c r="I6" s="81"/>
    </row>
    <row r="7" spans="2:21">
      <c r="B7" s="82"/>
      <c r="C7" s="83"/>
      <c r="D7" s="83"/>
      <c r="E7" s="83"/>
      <c r="F7" s="83"/>
      <c r="G7" s="83"/>
      <c r="H7" s="83"/>
      <c r="I7" s="84"/>
    </row>
    <row r="8" spans="2:21" ht="15" customHeight="1"/>
    <row r="9" spans="2:21" ht="15" customHeight="1">
      <c r="B9" s="85" t="s">
        <v>1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7"/>
    </row>
    <row r="10" spans="2:21" ht="15" customHeight="1">
      <c r="B10" s="88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90"/>
    </row>
    <row r="11" spans="2:21" ht="15" customHeight="1"/>
    <row r="12" spans="2:21" ht="15" customHeight="1">
      <c r="B12" s="43" t="s">
        <v>2</v>
      </c>
      <c r="C12" s="44"/>
      <c r="D12" s="44"/>
      <c r="E12" s="44"/>
      <c r="F12" s="44"/>
      <c r="G12" s="44"/>
      <c r="H12" s="44"/>
      <c r="I12" s="45"/>
      <c r="J12" s="43" t="s">
        <v>3</v>
      </c>
      <c r="K12" s="44"/>
      <c r="L12" s="44"/>
      <c r="M12" s="44"/>
      <c r="N12" s="44"/>
      <c r="O12" s="45"/>
      <c r="P12" s="58"/>
      <c r="Q12" s="59"/>
      <c r="R12" s="59"/>
      <c r="S12" s="59"/>
      <c r="T12" s="59"/>
      <c r="U12" s="60"/>
    </row>
    <row r="13" spans="2:21" ht="15" customHeight="1">
      <c r="B13" s="46"/>
      <c r="C13" s="47"/>
      <c r="D13" s="47"/>
      <c r="E13" s="47"/>
      <c r="F13" s="47"/>
      <c r="G13" s="47"/>
      <c r="H13" s="47"/>
      <c r="I13" s="48"/>
      <c r="J13" s="49"/>
      <c r="K13" s="50"/>
      <c r="L13" s="50"/>
      <c r="M13" s="50"/>
      <c r="N13" s="50"/>
      <c r="O13" s="51"/>
      <c r="P13" s="61"/>
      <c r="Q13" s="62"/>
      <c r="R13" s="62"/>
      <c r="S13" s="62"/>
      <c r="T13" s="62"/>
      <c r="U13" s="63"/>
    </row>
    <row r="14" spans="2:21" ht="15" customHeight="1">
      <c r="B14" s="46"/>
      <c r="C14" s="47"/>
      <c r="D14" s="47"/>
      <c r="E14" s="47"/>
      <c r="F14" s="47"/>
      <c r="G14" s="47"/>
      <c r="H14" s="47"/>
      <c r="I14" s="48"/>
      <c r="J14" s="43" t="s">
        <v>4</v>
      </c>
      <c r="K14" s="44"/>
      <c r="L14" s="45"/>
      <c r="M14" s="52" t="s">
        <v>5</v>
      </c>
      <c r="N14" s="53"/>
      <c r="O14" s="54"/>
      <c r="P14" s="64" t="s">
        <v>6</v>
      </c>
      <c r="Q14" s="65"/>
      <c r="R14" s="66"/>
      <c r="S14" s="70" t="s">
        <v>7</v>
      </c>
      <c r="T14" s="71"/>
      <c r="U14" s="72"/>
    </row>
    <row r="15" spans="2:21" ht="15" customHeight="1">
      <c r="B15" s="49"/>
      <c r="C15" s="50"/>
      <c r="D15" s="50"/>
      <c r="E15" s="50"/>
      <c r="F15" s="50"/>
      <c r="G15" s="50"/>
      <c r="H15" s="50"/>
      <c r="I15" s="51"/>
      <c r="J15" s="49"/>
      <c r="K15" s="50"/>
      <c r="L15" s="51"/>
      <c r="M15" s="55"/>
      <c r="N15" s="56"/>
      <c r="O15" s="57"/>
      <c r="P15" s="67"/>
      <c r="Q15" s="68"/>
      <c r="R15" s="69"/>
      <c r="S15" s="73"/>
      <c r="T15" s="74"/>
      <c r="U15" s="75"/>
    </row>
    <row r="16" spans="2:21" ht="15" customHeight="1">
      <c r="B16" s="1">
        <v>1</v>
      </c>
      <c r="C16" s="91" t="s">
        <v>8</v>
      </c>
      <c r="D16" s="34"/>
      <c r="E16" s="34"/>
      <c r="F16" s="34"/>
      <c r="G16" s="34"/>
      <c r="H16" s="34"/>
      <c r="I16" s="35"/>
      <c r="J16" s="17">
        <v>60000</v>
      </c>
      <c r="K16" s="18"/>
      <c r="L16" s="19"/>
      <c r="M16" s="17">
        <v>60000</v>
      </c>
      <c r="N16" s="18"/>
      <c r="O16" s="19"/>
      <c r="P16" s="17">
        <v>60000</v>
      </c>
      <c r="Q16" s="18"/>
      <c r="R16" s="19"/>
      <c r="S16" s="17">
        <v>60000</v>
      </c>
      <c r="T16" s="18"/>
      <c r="U16" s="19"/>
    </row>
    <row r="17" spans="2:21" ht="15" customHeight="1">
      <c r="B17" s="1">
        <v>2</v>
      </c>
      <c r="C17" s="91" t="s">
        <v>9</v>
      </c>
      <c r="D17" s="34"/>
      <c r="E17" s="34"/>
      <c r="F17" s="34"/>
      <c r="G17" s="34"/>
      <c r="H17" s="34"/>
      <c r="I17" s="35"/>
      <c r="J17" s="17">
        <v>750000</v>
      </c>
      <c r="K17" s="18"/>
      <c r="L17" s="19"/>
      <c r="M17" s="17">
        <v>750000</v>
      </c>
      <c r="N17" s="18"/>
      <c r="O17" s="19"/>
      <c r="P17" s="17">
        <v>750000</v>
      </c>
      <c r="Q17" s="18"/>
      <c r="R17" s="19"/>
      <c r="S17" s="17">
        <v>750000</v>
      </c>
      <c r="T17" s="18"/>
      <c r="U17" s="19"/>
    </row>
    <row r="18" spans="2:21" ht="15" customHeight="1">
      <c r="B18" s="1">
        <v>3</v>
      </c>
      <c r="C18" s="91" t="s">
        <v>10</v>
      </c>
      <c r="D18" s="34"/>
      <c r="E18" s="34"/>
      <c r="F18" s="34"/>
      <c r="G18" s="34"/>
      <c r="H18" s="34"/>
      <c r="I18" s="35"/>
      <c r="J18" s="17">
        <v>3500</v>
      </c>
      <c r="K18" s="18"/>
      <c r="L18" s="19"/>
      <c r="M18" s="17">
        <v>4000</v>
      </c>
      <c r="N18" s="18"/>
      <c r="O18" s="19"/>
      <c r="P18" s="17">
        <v>4750</v>
      </c>
      <c r="Q18" s="18"/>
      <c r="R18" s="19"/>
      <c r="S18" s="17">
        <v>5350</v>
      </c>
      <c r="T18" s="18"/>
      <c r="U18" s="19"/>
    </row>
    <row r="19" spans="2:21" ht="15" customHeight="1">
      <c r="B19" s="2">
        <v>4</v>
      </c>
      <c r="C19" s="92" t="s">
        <v>11</v>
      </c>
      <c r="D19" s="93"/>
      <c r="E19" s="93"/>
      <c r="F19" s="93"/>
      <c r="G19" s="93"/>
      <c r="H19" s="93"/>
      <c r="I19" s="94"/>
      <c r="J19" s="17">
        <v>10000</v>
      </c>
      <c r="K19" s="18"/>
      <c r="L19" s="19"/>
      <c r="M19" s="17">
        <v>10000</v>
      </c>
      <c r="N19" s="18"/>
      <c r="O19" s="19"/>
      <c r="P19" s="17">
        <v>12000</v>
      </c>
      <c r="Q19" s="18"/>
      <c r="R19" s="19"/>
      <c r="S19" s="17">
        <v>15000</v>
      </c>
      <c r="T19" s="18"/>
      <c r="U19" s="19"/>
    </row>
    <row r="20" spans="2:21">
      <c r="B20" s="8">
        <v>5</v>
      </c>
      <c r="C20" s="36" t="s">
        <v>12</v>
      </c>
      <c r="D20" s="36"/>
      <c r="E20" s="36"/>
      <c r="F20" s="36"/>
      <c r="G20" s="36"/>
      <c r="H20" s="36"/>
      <c r="I20" s="36"/>
      <c r="J20" s="18">
        <v>86799</v>
      </c>
      <c r="K20" s="34"/>
      <c r="L20" s="35"/>
      <c r="M20" s="17">
        <v>85927</v>
      </c>
      <c r="N20" s="18"/>
      <c r="O20" s="19"/>
      <c r="P20" s="17">
        <v>85459</v>
      </c>
      <c r="Q20" s="34"/>
      <c r="R20" s="35"/>
      <c r="S20" s="17">
        <v>85459</v>
      </c>
      <c r="T20" s="34"/>
      <c r="U20" s="35"/>
    </row>
    <row r="21" spans="2:21" ht="15" customHeight="1">
      <c r="B21" s="23" t="s">
        <v>13</v>
      </c>
      <c r="C21" s="24"/>
      <c r="D21" s="24"/>
      <c r="E21" s="24"/>
      <c r="F21" s="24"/>
      <c r="G21" s="24"/>
      <c r="H21" s="24"/>
      <c r="I21" s="25"/>
      <c r="J21" s="95">
        <f>J16+J17+J18+J19</f>
        <v>823500</v>
      </c>
      <c r="K21" s="96"/>
      <c r="L21" s="97"/>
      <c r="M21" s="95">
        <f>M16+M17+M18+M19</f>
        <v>824000</v>
      </c>
      <c r="N21" s="96"/>
      <c r="O21" s="97"/>
      <c r="P21" s="95">
        <f>P16+P17+P18+P19</f>
        <v>826750</v>
      </c>
      <c r="Q21" s="96"/>
      <c r="R21" s="97"/>
      <c r="S21" s="95">
        <f>S16+S17+S18+S19</f>
        <v>830350</v>
      </c>
      <c r="T21" s="96"/>
      <c r="U21" s="97"/>
    </row>
    <row r="22" spans="2:21" ht="15" customHeight="1">
      <c r="B22" s="26"/>
      <c r="C22" s="27"/>
      <c r="D22" s="27"/>
      <c r="E22" s="27"/>
      <c r="F22" s="27"/>
      <c r="G22" s="27"/>
      <c r="H22" s="27"/>
      <c r="I22" s="28"/>
      <c r="J22" s="98"/>
      <c r="K22" s="99"/>
      <c r="L22" s="100"/>
      <c r="M22" s="98"/>
      <c r="N22" s="99"/>
      <c r="O22" s="100"/>
      <c r="P22" s="98"/>
      <c r="Q22" s="99"/>
      <c r="R22" s="100"/>
      <c r="S22" s="98"/>
      <c r="T22" s="99"/>
      <c r="U22" s="100"/>
    </row>
    <row r="23" spans="2:21" ht="15" customHeight="1">
      <c r="B23" s="8">
        <v>1</v>
      </c>
      <c r="C23" s="32" t="s">
        <v>10</v>
      </c>
      <c r="D23" s="32"/>
      <c r="E23" s="32"/>
      <c r="F23" s="32"/>
      <c r="G23" s="32"/>
      <c r="H23" s="32"/>
      <c r="I23" s="33"/>
      <c r="J23" s="17">
        <v>19280</v>
      </c>
      <c r="K23" s="18"/>
      <c r="L23" s="19"/>
      <c r="M23" s="17">
        <v>23500</v>
      </c>
      <c r="N23" s="18"/>
      <c r="O23" s="19"/>
      <c r="P23" s="17">
        <v>32850</v>
      </c>
      <c r="Q23" s="18"/>
      <c r="R23" s="19"/>
      <c r="S23" s="17">
        <v>35750</v>
      </c>
      <c r="T23" s="18"/>
      <c r="U23" s="19"/>
    </row>
    <row r="24" spans="2:21" ht="15" customHeight="1">
      <c r="B24" s="8">
        <v>2</v>
      </c>
      <c r="C24" s="12" t="s">
        <v>14</v>
      </c>
      <c r="D24" s="12"/>
      <c r="E24" s="12"/>
      <c r="F24" s="12"/>
      <c r="G24" s="12"/>
      <c r="H24" s="12"/>
      <c r="I24" s="13"/>
      <c r="J24" s="3">
        <v>56400</v>
      </c>
      <c r="K24" s="4"/>
      <c r="L24" s="5"/>
      <c r="M24" s="3">
        <v>54750</v>
      </c>
      <c r="N24" s="4"/>
      <c r="O24" s="5"/>
      <c r="P24" s="3">
        <v>57050</v>
      </c>
      <c r="Q24" s="4"/>
      <c r="R24" s="5"/>
      <c r="S24" s="3">
        <v>56600</v>
      </c>
      <c r="T24" s="4"/>
      <c r="U24" s="5"/>
    </row>
    <row r="25" spans="2:21" ht="15" customHeight="1">
      <c r="B25" s="8">
        <v>3</v>
      </c>
      <c r="C25" s="12" t="s">
        <v>15</v>
      </c>
      <c r="D25" s="12"/>
      <c r="E25" s="12"/>
      <c r="F25" s="12"/>
      <c r="G25" s="12"/>
      <c r="H25" s="12"/>
      <c r="I25" s="13"/>
      <c r="J25" s="3">
        <v>3936</v>
      </c>
      <c r="K25" s="4"/>
      <c r="L25" s="5"/>
      <c r="M25" s="3">
        <v>4935</v>
      </c>
      <c r="N25" s="4"/>
      <c r="O25" s="5"/>
      <c r="P25" s="3">
        <v>19750</v>
      </c>
      <c r="Q25" s="4"/>
      <c r="R25" s="5"/>
      <c r="S25" s="3">
        <v>44400</v>
      </c>
      <c r="T25" s="4"/>
      <c r="U25" s="5"/>
    </row>
    <row r="26" spans="2:21" ht="15" customHeight="1">
      <c r="B26" s="8">
        <v>4</v>
      </c>
      <c r="C26" s="6" t="s">
        <v>16</v>
      </c>
      <c r="D26" s="6"/>
      <c r="E26" s="6"/>
      <c r="F26" s="6"/>
      <c r="G26" s="6"/>
      <c r="H26" s="6"/>
      <c r="I26" s="7"/>
      <c r="J26" s="9">
        <v>4100</v>
      </c>
      <c r="K26" s="10"/>
      <c r="L26" s="11"/>
      <c r="M26" s="9">
        <v>6150</v>
      </c>
      <c r="N26" s="10"/>
      <c r="O26" s="11"/>
      <c r="P26" s="9">
        <v>8350</v>
      </c>
      <c r="Q26" s="10"/>
      <c r="R26" s="11"/>
      <c r="S26" s="9">
        <v>12250</v>
      </c>
      <c r="T26" s="10"/>
      <c r="U26" s="11"/>
    </row>
    <row r="27" spans="2:21" ht="15" customHeight="1">
      <c r="B27" s="1">
        <v>5</v>
      </c>
      <c r="C27" s="113" t="s">
        <v>17</v>
      </c>
      <c r="D27" s="113"/>
      <c r="E27" s="113"/>
      <c r="F27" s="113"/>
      <c r="G27" s="113"/>
      <c r="H27" s="113"/>
      <c r="I27" s="113"/>
      <c r="J27" s="14">
        <v>30000</v>
      </c>
      <c r="K27" s="15"/>
      <c r="L27" s="16"/>
      <c r="M27" s="14">
        <v>17500</v>
      </c>
      <c r="N27" s="15"/>
      <c r="O27" s="16"/>
      <c r="P27" s="14">
        <v>22500</v>
      </c>
      <c r="Q27" s="15"/>
      <c r="R27" s="16"/>
      <c r="S27" s="14">
        <v>13000</v>
      </c>
      <c r="T27" s="15"/>
      <c r="U27" s="16"/>
    </row>
    <row r="28" spans="2:21" ht="15" customHeight="1">
      <c r="B28" s="1">
        <v>6</v>
      </c>
      <c r="C28" s="113" t="s">
        <v>18</v>
      </c>
      <c r="D28" s="113"/>
      <c r="E28" s="113"/>
      <c r="F28" s="113"/>
      <c r="G28" s="113"/>
      <c r="H28" s="113"/>
      <c r="I28" s="113"/>
      <c r="J28" s="20">
        <v>50000</v>
      </c>
      <c r="K28" s="21"/>
      <c r="L28" s="22"/>
      <c r="M28" s="20">
        <v>25750</v>
      </c>
      <c r="N28" s="21"/>
      <c r="O28" s="22"/>
      <c r="P28" s="20">
        <v>10000</v>
      </c>
      <c r="Q28" s="21"/>
      <c r="R28" s="22"/>
      <c r="S28" s="20">
        <v>5500</v>
      </c>
      <c r="T28" s="21"/>
      <c r="U28" s="22"/>
    </row>
    <row r="29" spans="2:21" ht="15.95" customHeight="1">
      <c r="B29" s="29" t="s">
        <v>19</v>
      </c>
      <c r="C29" s="30"/>
      <c r="D29" s="30"/>
      <c r="E29" s="30"/>
      <c r="F29" s="30"/>
      <c r="G29" s="30"/>
      <c r="H29" s="30"/>
      <c r="I29" s="31"/>
      <c r="J29" s="101">
        <f>J23+J24+J25+J26+J27+J28</f>
        <v>163716</v>
      </c>
      <c r="K29" s="102"/>
      <c r="L29" s="103"/>
      <c r="M29" s="101">
        <f t="shared" ref="M29" si="0">M23+M24+M25+M26+M27+M28</f>
        <v>132585</v>
      </c>
      <c r="N29" s="102"/>
      <c r="O29" s="103"/>
      <c r="P29" s="101">
        <f t="shared" ref="P29" si="1">P23+P24+P25+P26+P27+P28</f>
        <v>150500</v>
      </c>
      <c r="Q29" s="102"/>
      <c r="R29" s="103"/>
      <c r="S29" s="101">
        <f t="shared" ref="S29" si="2">S23+S24+S25+S26+S27+S28</f>
        <v>167500</v>
      </c>
      <c r="T29" s="102"/>
      <c r="U29" s="103"/>
    </row>
    <row r="30" spans="2:21" ht="15.95" customHeight="1">
      <c r="B30" s="26"/>
      <c r="C30" s="27"/>
      <c r="D30" s="27"/>
      <c r="E30" s="27"/>
      <c r="F30" s="27"/>
      <c r="G30" s="27"/>
      <c r="H30" s="27"/>
      <c r="I30" s="28"/>
      <c r="J30" s="104"/>
      <c r="K30" s="105"/>
      <c r="L30" s="106"/>
      <c r="M30" s="104"/>
      <c r="N30" s="105"/>
      <c r="O30" s="106"/>
      <c r="P30" s="104"/>
      <c r="Q30" s="105"/>
      <c r="R30" s="106"/>
      <c r="S30" s="104"/>
      <c r="T30" s="105"/>
      <c r="U30" s="106"/>
    </row>
    <row r="31" spans="2:21" ht="15.95" customHeight="1"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</row>
    <row r="32" spans="2:21" ht="15.95" customHeight="1">
      <c r="B32" s="37" t="s">
        <v>20</v>
      </c>
      <c r="C32" s="38"/>
      <c r="D32" s="38"/>
      <c r="E32" s="38"/>
      <c r="F32" s="38"/>
      <c r="G32" s="38"/>
      <c r="H32" s="38"/>
      <c r="I32" s="39"/>
      <c r="J32" s="108">
        <f>J21+J29</f>
        <v>987216</v>
      </c>
      <c r="K32" s="102"/>
      <c r="L32" s="109"/>
      <c r="M32" s="108">
        <f t="shared" ref="M32:U32" si="3">M21+M29</f>
        <v>956585</v>
      </c>
      <c r="N32" s="102"/>
      <c r="O32" s="109"/>
      <c r="P32" s="108">
        <f t="shared" ref="P32:U32" si="4">P21+P29</f>
        <v>977250</v>
      </c>
      <c r="Q32" s="102"/>
      <c r="R32" s="109"/>
      <c r="S32" s="108">
        <f t="shared" ref="S32:U32" si="5">S21+S29</f>
        <v>997850</v>
      </c>
      <c r="T32" s="102"/>
      <c r="U32" s="109"/>
    </row>
    <row r="33" spans="2:21">
      <c r="B33" s="40"/>
      <c r="C33" s="41"/>
      <c r="D33" s="41"/>
      <c r="E33" s="41"/>
      <c r="F33" s="41"/>
      <c r="G33" s="41"/>
      <c r="H33" s="41"/>
      <c r="I33" s="42"/>
      <c r="J33" s="110"/>
      <c r="K33" s="111"/>
      <c r="L33" s="112"/>
      <c r="M33" s="110"/>
      <c r="N33" s="111"/>
      <c r="O33" s="112"/>
      <c r="P33" s="110"/>
      <c r="Q33" s="111"/>
      <c r="R33" s="112"/>
      <c r="S33" s="110"/>
      <c r="T33" s="111"/>
      <c r="U33" s="112"/>
    </row>
  </sheetData>
  <mergeCells count="64">
    <mergeCell ref="B2:I7"/>
    <mergeCell ref="P18:R18"/>
    <mergeCell ref="M19:O19"/>
    <mergeCell ref="P19:R19"/>
    <mergeCell ref="S19:U19"/>
    <mergeCell ref="S16:U16"/>
    <mergeCell ref="S17:U17"/>
    <mergeCell ref="S18:U18"/>
    <mergeCell ref="M17:O17"/>
    <mergeCell ref="M18:O18"/>
    <mergeCell ref="P16:R16"/>
    <mergeCell ref="B9:U10"/>
    <mergeCell ref="C16:I16"/>
    <mergeCell ref="C17:I17"/>
    <mergeCell ref="C18:I18"/>
    <mergeCell ref="C19:I19"/>
    <mergeCell ref="B12:I15"/>
    <mergeCell ref="J12:O13"/>
    <mergeCell ref="J14:L15"/>
    <mergeCell ref="M14:O15"/>
    <mergeCell ref="P12:U13"/>
    <mergeCell ref="P14:R15"/>
    <mergeCell ref="S14:U15"/>
    <mergeCell ref="S20:U20"/>
    <mergeCell ref="C20:I20"/>
    <mergeCell ref="J16:L16"/>
    <mergeCell ref="J17:L17"/>
    <mergeCell ref="B32:I33"/>
    <mergeCell ref="J29:L30"/>
    <mergeCell ref="M29:O30"/>
    <mergeCell ref="J32:L33"/>
    <mergeCell ref="M27:O27"/>
    <mergeCell ref="M28:O28"/>
    <mergeCell ref="C27:I27"/>
    <mergeCell ref="C28:I28"/>
    <mergeCell ref="J27:L27"/>
    <mergeCell ref="J28:L28"/>
    <mergeCell ref="M32:O33"/>
    <mergeCell ref="P17:R17"/>
    <mergeCell ref="J19:L19"/>
    <mergeCell ref="J20:L20"/>
    <mergeCell ref="M20:O20"/>
    <mergeCell ref="P20:R20"/>
    <mergeCell ref="J18:L18"/>
    <mergeCell ref="M16:O16"/>
    <mergeCell ref="B21:I22"/>
    <mergeCell ref="B29:I30"/>
    <mergeCell ref="C23:I23"/>
    <mergeCell ref="P32:R33"/>
    <mergeCell ref="S32:U33"/>
    <mergeCell ref="J21:L22"/>
    <mergeCell ref="M21:O22"/>
    <mergeCell ref="P21:R22"/>
    <mergeCell ref="S21:U22"/>
    <mergeCell ref="P27:R27"/>
    <mergeCell ref="S27:U27"/>
    <mergeCell ref="S23:U23"/>
    <mergeCell ref="P23:R23"/>
    <mergeCell ref="J23:L23"/>
    <mergeCell ref="M23:O23"/>
    <mergeCell ref="P29:R30"/>
    <mergeCell ref="S29:U30"/>
    <mergeCell ref="P28:R28"/>
    <mergeCell ref="S28:U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STEFANO CARAMAGNO</cp:lastModifiedBy>
  <cp:revision/>
  <dcterms:created xsi:type="dcterms:W3CDTF">2006-09-16T00:00:00Z</dcterms:created>
  <dcterms:modified xsi:type="dcterms:W3CDTF">2024-01-15T22:04:07Z</dcterms:modified>
  <cp:category/>
  <cp:contentStatus/>
</cp:coreProperties>
</file>